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我的雲端硬碟\出差報銷系統\"/>
    </mc:Choice>
  </mc:AlternateContent>
  <xr:revisionPtr revIDLastSave="0" documentId="13_ncr:1_{2495F92C-9D35-43F5-9593-DC6A91B20B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報銷表" sheetId="2" r:id="rId1"/>
    <sheet name="應付憑單" sheetId="1" r:id="rId2"/>
    <sheet name="路線憑證" sheetId="3" r:id="rId3"/>
  </sheets>
  <definedNames>
    <definedName name="_xlnm.Print_Area" localSheetId="0">報銷表!$A$1:$S$24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2" l="1"/>
  <c r="Q20" i="2" s="1"/>
  <c r="Q17" i="2"/>
  <c r="P17" i="2"/>
  <c r="N17" i="2"/>
  <c r="L17" i="2"/>
  <c r="J17" i="2"/>
  <c r="Q16" i="2"/>
  <c r="P16" i="2"/>
  <c r="N16" i="2"/>
  <c r="L16" i="2"/>
  <c r="J16" i="2"/>
  <c r="Q15" i="2"/>
  <c r="P15" i="2"/>
  <c r="N15" i="2"/>
  <c r="L15" i="2"/>
  <c r="J15" i="2"/>
  <c r="Q14" i="2"/>
  <c r="P14" i="2"/>
  <c r="N14" i="2"/>
  <c r="J14" i="2"/>
  <c r="A13" i="2"/>
  <c r="A12" i="2"/>
  <c r="A11" i="2"/>
  <c r="A10" i="2"/>
  <c r="A9" i="2"/>
  <c r="A8" i="2"/>
  <c r="L14" i="2"/>
  <c r="A7" i="2"/>
  <c r="A6" i="2"/>
  <c r="M22" i="2" l="1"/>
  <c r="Q22" i="2" s="1"/>
  <c r="M19" i="2"/>
  <c r="Q19" i="2" s="1"/>
  <c r="Q24" i="2" s="1"/>
</calcChain>
</file>

<file path=xl/sharedStrings.xml><?xml version="1.0" encoding="utf-8"?>
<sst xmlns="http://schemas.openxmlformats.org/spreadsheetml/2006/main" count="84" uniqueCount="72">
  <si>
    <t>銓瑞複材科技股份有限公司</t>
  </si>
  <si>
    <t xml:space="preserve">應  付  憑  單    </t>
    <phoneticPr fontId="3" type="noConversion"/>
  </si>
  <si>
    <t>傳票號碼：</t>
  </si>
  <si>
    <t>申請日:</t>
    <phoneticPr fontId="5" type="noConversion"/>
  </si>
  <si>
    <t>預計付款日</t>
    <phoneticPr fontId="3" type="noConversion"/>
  </si>
  <si>
    <t>廠 商
名 稱</t>
    <phoneticPr fontId="3" type="noConversion"/>
  </si>
  <si>
    <t>會計
科目</t>
    <phoneticPr fontId="3" type="noConversion"/>
  </si>
  <si>
    <t>部門</t>
    <phoneticPr fontId="3" type="noConversion"/>
  </si>
  <si>
    <t>備 註</t>
  </si>
  <si>
    <t>金額</t>
  </si>
  <si>
    <t>郵資/
匯費</t>
    <phoneticPr fontId="5" type="noConversion"/>
  </si>
  <si>
    <t>實付額</t>
    <phoneticPr fontId="5" type="noConversion"/>
  </si>
  <si>
    <t>付
款
明
細</t>
    <phoneticPr fontId="3" type="noConversion"/>
  </si>
  <si>
    <t>現  金</t>
  </si>
  <si>
    <t>領
款
簽
章</t>
    <phoneticPr fontId="3" type="noConversion"/>
  </si>
  <si>
    <t>請 蓋 公 司 章</t>
  </si>
  <si>
    <t>領 款 人 簽 章</t>
  </si>
  <si>
    <t>銀  行
名  稱</t>
    <phoneticPr fontId="3" type="noConversion"/>
  </si>
  <si>
    <t>支  票
號  碼</t>
    <phoneticPr fontId="3" type="noConversion"/>
  </si>
  <si>
    <t>到期日</t>
  </si>
  <si>
    <t>總  經  理</t>
  </si>
  <si>
    <t>覆    核</t>
  </si>
  <si>
    <t>出     納</t>
    <phoneticPr fontId="3" type="noConversion"/>
  </si>
  <si>
    <t>核    准</t>
    <phoneticPr fontId="3" type="noConversion"/>
  </si>
  <si>
    <t>主    管</t>
    <phoneticPr fontId="3" type="noConversion"/>
  </si>
  <si>
    <t>經  辦  人</t>
  </si>
  <si>
    <t>……………………………………………………………………………………………………………………………………</t>
    <phoneticPr fontId="3" type="noConversion"/>
  </si>
  <si>
    <t>粘貼 發票/收據/支票 浮貼處</t>
  </si>
  <si>
    <t>銓瑞複材科技股份有限公司</t>
    <phoneticPr fontId="3" type="noConversion"/>
  </si>
  <si>
    <t>出差旅費報告表</t>
    <phoneticPr fontId="3" type="noConversion"/>
  </si>
  <si>
    <t>出差期間</t>
    <phoneticPr fontId="3" type="noConversion"/>
  </si>
  <si>
    <t>～</t>
    <phoneticPr fontId="3" type="noConversion"/>
  </si>
  <si>
    <t>文件編號：</t>
    <phoneticPr fontId="3" type="noConversion"/>
  </si>
  <si>
    <t>項次</t>
    <phoneticPr fontId="3" type="noConversion"/>
  </si>
  <si>
    <t>年</t>
    <phoneticPr fontId="3" type="noConversion"/>
  </si>
  <si>
    <t>起迄時間</t>
    <phoneticPr fontId="3" type="noConversion"/>
  </si>
  <si>
    <t>交通
工具</t>
    <phoneticPr fontId="3" type="noConversion"/>
  </si>
  <si>
    <t>出發地
至目的地</t>
    <phoneticPr fontId="3" type="noConversion"/>
  </si>
  <si>
    <t>出差事由/報告</t>
    <phoneticPr fontId="3" type="noConversion"/>
  </si>
  <si>
    <t>交通費</t>
    <phoneticPr fontId="3" type="noConversion"/>
  </si>
  <si>
    <t>住宿費</t>
    <phoneticPr fontId="3" type="noConversion"/>
  </si>
  <si>
    <t>日支費</t>
    <phoneticPr fontId="3" type="noConversion"/>
  </si>
  <si>
    <t>其他費用</t>
    <phoneticPr fontId="3" type="noConversion"/>
  </si>
  <si>
    <t>備註</t>
    <phoneticPr fontId="3" type="noConversion"/>
  </si>
  <si>
    <t>月</t>
    <phoneticPr fontId="3" type="noConversion"/>
  </si>
  <si>
    <t>日</t>
    <phoneticPr fontId="3" type="noConversion"/>
  </si>
  <si>
    <t>幣別</t>
    <phoneticPr fontId="3" type="noConversion"/>
  </si>
  <si>
    <t>金額</t>
    <phoneticPr fontId="3" type="noConversion"/>
  </si>
  <si>
    <t>台幣
(TWD)</t>
  </si>
  <si>
    <t>台幣
(TWD)</t>
    <phoneticPr fontId="3" type="noConversion"/>
  </si>
  <si>
    <t xml:space="preserve">人民幣
(CNY) </t>
    <phoneticPr fontId="3" type="noConversion"/>
  </si>
  <si>
    <t>美元
(USD)</t>
    <phoneticPr fontId="3" type="noConversion"/>
  </si>
  <si>
    <t>歐元
(EUR)</t>
    <phoneticPr fontId="3" type="noConversion"/>
  </si>
  <si>
    <t>日圓
(JPY)</t>
    <phoneticPr fontId="3" type="noConversion"/>
  </si>
  <si>
    <t>英鎊
(GBP)</t>
    <phoneticPr fontId="3" type="noConversion"/>
  </si>
  <si>
    <t>澳幣
(AUD)</t>
    <phoneticPr fontId="3" type="noConversion"/>
  </si>
  <si>
    <t>加幣
(CAD)</t>
    <phoneticPr fontId="3" type="noConversion"/>
  </si>
  <si>
    <t>申
請
人
應
檢附資料</t>
    <phoneticPr fontId="3" type="noConversion"/>
  </si>
  <si>
    <r>
      <rPr>
        <b/>
        <sz val="10"/>
        <color theme="1"/>
        <rFont val="標楷體"/>
        <family val="4"/>
        <charset val="136"/>
      </rPr>
      <t>□</t>
    </r>
    <r>
      <rPr>
        <b/>
        <sz val="10"/>
        <color theme="1"/>
        <rFont val="微軟正黑體"/>
        <family val="2"/>
        <charset val="136"/>
      </rPr>
      <t xml:space="preserve">出差申請暨差旅費用預支單
</t>
    </r>
    <r>
      <rPr>
        <b/>
        <sz val="10"/>
        <color theme="1"/>
        <rFont val="標楷體"/>
        <family val="4"/>
        <charset val="136"/>
      </rPr>
      <t>□</t>
    </r>
    <r>
      <rPr>
        <b/>
        <sz val="10"/>
        <color theme="1"/>
        <rFont val="微軟正黑體"/>
        <family val="2"/>
        <charset val="136"/>
      </rPr>
      <t xml:space="preserve">出差心得報告及成果說明
</t>
    </r>
    <r>
      <rPr>
        <b/>
        <sz val="10"/>
        <color theme="1"/>
        <rFont val="標楷體"/>
        <family val="4"/>
        <charset val="136"/>
      </rPr>
      <t>□</t>
    </r>
    <r>
      <rPr>
        <b/>
        <sz val="10"/>
        <color theme="1"/>
        <rFont val="微軟正黑體"/>
        <family val="2"/>
        <charset val="136"/>
      </rPr>
      <t xml:space="preserve">自用車Google路線公里圖/油資發票
</t>
    </r>
    <r>
      <rPr>
        <b/>
        <sz val="10"/>
        <color theme="1"/>
        <rFont val="標楷體"/>
        <family val="4"/>
        <charset val="136"/>
      </rPr>
      <t>□</t>
    </r>
    <r>
      <rPr>
        <b/>
        <sz val="10"/>
        <color theme="1"/>
        <rFont val="微軟正黑體"/>
        <family val="2"/>
        <charset val="136"/>
      </rPr>
      <t xml:space="preserve">購票證明或代收轉付收據(公司購票者免檢附)
</t>
    </r>
    <r>
      <rPr>
        <b/>
        <sz val="10"/>
        <color theme="1"/>
        <rFont val="標楷體"/>
        <family val="4"/>
        <charset val="136"/>
      </rPr>
      <t>□</t>
    </r>
    <r>
      <rPr>
        <b/>
        <sz val="10"/>
        <color theme="1"/>
        <rFont val="微軟正黑體"/>
        <family val="2"/>
        <charset val="136"/>
      </rPr>
      <t xml:space="preserve">機票存根或登機證明聯
</t>
    </r>
    <r>
      <rPr>
        <b/>
        <sz val="10"/>
        <color theme="1"/>
        <rFont val="標楷體"/>
        <family val="4"/>
        <charset val="136"/>
      </rPr>
      <t>□</t>
    </r>
    <r>
      <rPr>
        <b/>
        <sz val="10"/>
        <color theme="1"/>
        <rFont val="微軟正黑體"/>
        <family val="2"/>
        <charset val="136"/>
      </rPr>
      <t>飯店水單、</t>
    </r>
    <r>
      <rPr>
        <b/>
        <sz val="10"/>
        <color theme="1"/>
        <rFont val="Microsoft JhengHei UI"/>
        <family val="2"/>
        <charset val="136"/>
      </rPr>
      <t>發票或收據取其一</t>
    </r>
    <r>
      <rPr>
        <b/>
        <sz val="10"/>
        <color theme="1"/>
        <rFont val="微軟正黑體"/>
        <family val="2"/>
        <charset val="136"/>
      </rPr>
      <t xml:space="preserve">
</t>
    </r>
    <r>
      <rPr>
        <b/>
        <sz val="10"/>
        <color theme="1"/>
        <rFont val="標楷體"/>
        <family val="4"/>
        <charset val="136"/>
      </rPr>
      <t>□</t>
    </r>
    <r>
      <rPr>
        <b/>
        <sz val="10"/>
        <color theme="1"/>
        <rFont val="微軟正黑體"/>
        <family val="2"/>
        <charset val="136"/>
      </rPr>
      <t>其他文件：</t>
    </r>
    <phoneticPr fontId="3" type="noConversion"/>
  </si>
  <si>
    <t>合計</t>
    <phoneticPr fontId="3" type="noConversion"/>
  </si>
  <si>
    <t>瑞士法郎
(CHF)</t>
    <phoneticPr fontId="3" type="noConversion"/>
  </si>
  <si>
    <t xml:space="preserve">新加坡幣
(SGD) </t>
    <phoneticPr fontId="3" type="noConversion"/>
  </si>
  <si>
    <t xml:space="preserve">港幣
(HKD) </t>
    <phoneticPr fontId="3" type="noConversion"/>
  </si>
  <si>
    <t>1.預支旅費者，應填寫出差申請暨差旅費用預支單，待核銷時，再行沖抵。
2.機票款、交通費用若由公司支付者，交通費欄位免再填寫。
3.差旅費申請需在每月10及25日前向財務部提出，於當月20日及次月5日匯入薪資帳戶(遇假日順延)。
4.差旅費以外幣支付者，則填寫外幣金額，財務部再換算台幣支付。
5.各項費用報支依本公司「公出及出差管理辦法」之規定辦理。
6.匯率計算：
◎預支外幣時：依出差前一日台灣銀行「即期」或「現金」賣出匯率取其高者兌算或檢附刷卡之銀行信用卡帳單結算匯率證明。</t>
    <phoneticPr fontId="3" type="noConversion"/>
  </si>
  <si>
    <t>財務部審核</t>
    <phoneticPr fontId="3" type="noConversion"/>
  </si>
  <si>
    <t>幣別總計</t>
    <phoneticPr fontId="3" type="noConversion"/>
  </si>
  <si>
    <t>匯  率</t>
    <phoneticPr fontId="3" type="noConversion"/>
  </si>
  <si>
    <t>台幣金額</t>
    <phoneticPr fontId="3" type="noConversion"/>
  </si>
  <si>
    <t>減：借支金額</t>
    <phoneticPr fontId="3" type="noConversion"/>
  </si>
  <si>
    <t>實際支付金額</t>
    <phoneticPr fontId="3" type="noConversion"/>
  </si>
  <si>
    <t>姓名：</t>
    <phoneticPr fontId="3" type="noConversion"/>
  </si>
  <si>
    <t>申請部門：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</si>
</sst>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;[Red]\-&quot;$&quot;#,##0"/>
    <numFmt numFmtId="44" formatCode="_-&quot;$&quot;* #,##0.00_-;\-&quot;$&quot;* #,##0.00_-;_-&quot;$&quot;* &quot;-&quot;??_-;_-@_-"/>
    <numFmt numFmtId="176" formatCode="[$-F800]dddd\,\ mmmm\ dd\,\ yyyy"/>
    <numFmt numFmtId="177" formatCode="&quot;$&quot;#,##0_);[Red]\(&quot;$&quot;#,##0\)"/>
    <numFmt numFmtId="178" formatCode="&quot;$&quot;##,#00&quot;元&quot;&quot;整&quot;"/>
    <numFmt numFmtId="179" formatCode="_(&quot;$&quot;* #,##0.00_);_(&quot;$&quot;* \(#,##0.00\);_(&quot;$&quot;* &quot;-&quot;??_);_(@_)"/>
    <numFmt numFmtId="180" formatCode="m"/>
    <numFmt numFmtId="181" formatCode="d"/>
    <numFmt numFmtId="182" formatCode="h:mm;@"/>
    <numFmt numFmtId="183" formatCode="#,##0_);[Red]\(#,##0\)"/>
    <numFmt numFmtId="184" formatCode="#,##0.00_);[Red]\(#,##0.00\)"/>
    <numFmt numFmtId="185" formatCode="0_);[Red]\(0\)"/>
    <numFmt numFmtId="186" formatCode="0.00_);[Red]\(0.00\)"/>
    <numFmt numFmtId="187" formatCode="_-* #,##0_-;\-* #,##0_-;_-* &quot;-&quot;??_-;_-@_-"/>
  </numFmts>
  <fonts count="3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sz val="14"/>
      <name val="標楷體"/>
      <family val="4"/>
      <charset val="136"/>
    </font>
    <font>
      <sz val="12"/>
      <name val="宋体"/>
      <family val="3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23"/>
      <color theme="1"/>
      <name val="微軟正黑體"/>
      <family val="2"/>
      <charset val="136"/>
    </font>
    <font>
      <sz val="12"/>
      <color theme="0" tint="-0.14999847407452621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8"/>
      <name val="新細明體"/>
      <family val="1"/>
      <charset val="136"/>
      <scheme val="minor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8"/>
      <color theme="0" tint="-0.14999847407452621"/>
      <name val="標楷體"/>
      <family val="4"/>
      <charset val="136"/>
    </font>
    <font>
      <b/>
      <sz val="10"/>
      <color theme="1"/>
      <name val="微軟正黑體"/>
      <family val="4"/>
      <charset val="136"/>
    </font>
    <font>
      <b/>
      <sz val="10"/>
      <color theme="1"/>
      <name val="標楷體"/>
      <family val="4"/>
      <charset val="136"/>
    </font>
    <font>
      <b/>
      <sz val="10"/>
      <color theme="1"/>
      <name val="Microsoft JhengHei UI"/>
      <family val="2"/>
      <charset val="136"/>
    </font>
    <font>
      <sz val="8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" fillId="0" borderId="0"/>
    <xf numFmtId="0" fontId="11" fillId="0" borderId="0"/>
    <xf numFmtId="0" fontId="10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4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4" fillId="0" borderId="0" xfId="2" applyFont="1">
      <alignment vertical="center"/>
    </xf>
    <xf numFmtId="0" fontId="4" fillId="0" borderId="1" xfId="2" applyFont="1" applyBorder="1" applyAlignment="1">
      <alignment vertical="center" wrapText="1"/>
    </xf>
    <xf numFmtId="0" fontId="4" fillId="0" borderId="2" xfId="2" applyFont="1" applyBorder="1" applyAlignment="1">
      <alignment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178" fontId="7" fillId="0" borderId="3" xfId="2" applyNumberFormat="1" applyFont="1" applyBorder="1" applyAlignment="1">
      <alignment horizontal="center" vertical="center" wrapText="1"/>
    </xf>
    <xf numFmtId="177" fontId="8" fillId="0" borderId="4" xfId="1" applyNumberFormat="1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15" fillId="2" borderId="0" xfId="0" applyFont="1" applyFill="1">
      <alignment vertical="center"/>
    </xf>
    <xf numFmtId="14" fontId="18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Protection="1">
      <alignment vertical="center"/>
      <protection locked="0"/>
    </xf>
    <xf numFmtId="0" fontId="20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 applyProtection="1">
      <alignment horizontal="center" vertical="center"/>
      <protection locked="0"/>
    </xf>
    <xf numFmtId="0" fontId="17" fillId="2" borderId="25" xfId="0" applyFont="1" applyFill="1" applyBorder="1" applyAlignment="1" applyProtection="1">
      <alignment horizontal="center" vertical="center"/>
      <protection locked="0"/>
    </xf>
    <xf numFmtId="0" fontId="21" fillId="2" borderId="24" xfId="0" applyFont="1" applyFill="1" applyBorder="1" applyAlignment="1" applyProtection="1">
      <alignment horizontal="center" vertical="center" wrapText="1"/>
      <protection locked="0"/>
    </xf>
    <xf numFmtId="0" fontId="21" fillId="2" borderId="25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>
      <alignment vertical="center"/>
    </xf>
    <xf numFmtId="0" fontId="18" fillId="2" borderId="30" xfId="0" applyFont="1" applyFill="1" applyBorder="1" applyAlignment="1" applyProtection="1">
      <alignment horizontal="center" vertical="center"/>
      <protection locked="0"/>
    </xf>
    <xf numFmtId="180" fontId="23" fillId="2" borderId="31" xfId="0" applyNumberFormat="1" applyFont="1" applyFill="1" applyBorder="1" applyAlignment="1">
      <alignment horizontal="center" vertical="center"/>
    </xf>
    <xf numFmtId="181" fontId="23" fillId="2" borderId="31" xfId="0" applyNumberFormat="1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center" vertical="center"/>
      <protection locked="0"/>
    </xf>
    <xf numFmtId="183" fontId="24" fillId="2" borderId="36" xfId="0" applyNumberFormat="1" applyFont="1" applyFill="1" applyBorder="1" applyAlignment="1" applyProtection="1">
      <alignment horizontal="center" vertical="center" wrapText="1"/>
      <protection locked="0"/>
    </xf>
    <xf numFmtId="183" fontId="23" fillId="2" borderId="36" xfId="0" applyNumberFormat="1" applyFont="1" applyFill="1" applyBorder="1" applyAlignment="1" applyProtection="1">
      <alignment horizontal="right" vertical="center" wrapText="1"/>
      <protection locked="0"/>
    </xf>
    <xf numFmtId="184" fontId="23" fillId="2" borderId="36" xfId="0" applyNumberFormat="1" applyFont="1" applyFill="1" applyBorder="1" applyAlignment="1" applyProtection="1">
      <alignment horizontal="right" vertical="center" wrapText="1"/>
      <protection locked="0"/>
    </xf>
    <xf numFmtId="0" fontId="25" fillId="2" borderId="0" xfId="0" applyFont="1" applyFill="1" applyAlignment="1">
      <alignment vertical="center" wrapText="1"/>
    </xf>
    <xf numFmtId="20" fontId="23" fillId="2" borderId="39" xfId="0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center" vertical="center"/>
      <protection locked="0"/>
    </xf>
    <xf numFmtId="183" fontId="24" fillId="2" borderId="40" xfId="0" applyNumberFormat="1" applyFont="1" applyFill="1" applyBorder="1" applyAlignment="1" applyProtection="1">
      <alignment horizontal="center" vertical="center" wrapText="1"/>
      <protection locked="0"/>
    </xf>
    <xf numFmtId="183" fontId="23" fillId="2" borderId="40" xfId="0" applyNumberFormat="1" applyFont="1" applyFill="1" applyBorder="1" applyAlignment="1" applyProtection="1">
      <alignment horizontal="right" vertical="center" wrapText="1"/>
      <protection locked="0"/>
    </xf>
    <xf numFmtId="184" fontId="24" fillId="2" borderId="40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40" xfId="0" applyNumberFormat="1" applyFont="1" applyFill="1" applyBorder="1" applyAlignment="1" applyProtection="1">
      <alignment horizontal="right" vertical="center" wrapText="1"/>
      <protection locked="0"/>
    </xf>
    <xf numFmtId="183" fontId="24" fillId="0" borderId="40" xfId="0" applyNumberFormat="1" applyFont="1" applyBorder="1" applyAlignment="1" applyProtection="1">
      <alignment horizontal="center" vertical="center" wrapText="1"/>
      <protection locked="0"/>
    </xf>
    <xf numFmtId="183" fontId="23" fillId="0" borderId="40" xfId="0" applyNumberFormat="1" applyFont="1" applyBorder="1" applyAlignment="1" applyProtection="1">
      <alignment horizontal="right" vertical="center" wrapText="1"/>
      <protection locked="0"/>
    </xf>
    <xf numFmtId="182" fontId="23" fillId="2" borderId="46" xfId="0" applyNumberFormat="1" applyFont="1" applyFill="1" applyBorder="1" applyAlignment="1">
      <alignment horizontal="center" vertical="center"/>
    </xf>
    <xf numFmtId="184" fontId="24" fillId="2" borderId="48" xfId="0" applyNumberFormat="1" applyFont="1" applyFill="1" applyBorder="1" applyAlignment="1" applyProtection="1">
      <alignment horizontal="center" vertical="center" wrapText="1"/>
      <protection locked="0"/>
    </xf>
    <xf numFmtId="0" fontId="23" fillId="2" borderId="49" xfId="0" applyFont="1" applyFill="1" applyBorder="1" applyAlignment="1" applyProtection="1">
      <alignment horizontal="center" vertical="center"/>
      <protection locked="0"/>
    </xf>
    <xf numFmtId="184" fontId="24" fillId="2" borderId="52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49" xfId="0" applyNumberFormat="1" applyFont="1" applyFill="1" applyBorder="1" applyAlignment="1" applyProtection="1">
      <alignment horizontal="right" vertical="center" wrapText="1"/>
      <protection locked="0"/>
    </xf>
    <xf numFmtId="183" fontId="24" fillId="2" borderId="31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43" xfId="0" applyNumberFormat="1" applyFont="1" applyFill="1" applyBorder="1" applyAlignment="1" applyProtection="1">
      <alignment horizontal="right" vertical="center" wrapText="1"/>
      <protection locked="0"/>
    </xf>
    <xf numFmtId="184" fontId="24" fillId="2" borderId="43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41" xfId="0" applyNumberFormat="1" applyFont="1" applyFill="1" applyBorder="1" applyAlignment="1" applyProtection="1">
      <alignment horizontal="right" vertical="center" wrapText="1"/>
      <protection locked="0"/>
    </xf>
    <xf numFmtId="183" fontId="29" fillId="4" borderId="58" xfId="0" applyNumberFormat="1" applyFont="1" applyFill="1" applyBorder="1" applyAlignment="1" applyProtection="1">
      <alignment horizontal="center" vertical="center" wrapText="1"/>
      <protection locked="0"/>
    </xf>
    <xf numFmtId="183" fontId="30" fillId="2" borderId="59" xfId="0" applyNumberFormat="1" applyFont="1" applyFill="1" applyBorder="1" applyAlignment="1">
      <alignment horizontal="right" vertical="center" wrapText="1"/>
    </xf>
    <xf numFmtId="183" fontId="29" fillId="4" borderId="59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59" xfId="0" applyFont="1" applyFill="1" applyBorder="1" applyAlignment="1">
      <alignment horizontal="right" vertical="center" wrapText="1"/>
    </xf>
    <xf numFmtId="0" fontId="29" fillId="4" borderId="48" xfId="0" applyFont="1" applyFill="1" applyBorder="1" applyAlignment="1" applyProtection="1">
      <alignment horizontal="center" vertical="center" wrapText="1"/>
      <protection locked="0"/>
    </xf>
    <xf numFmtId="0" fontId="30" fillId="2" borderId="40" xfId="0" applyFont="1" applyFill="1" applyBorder="1" applyAlignment="1">
      <alignment horizontal="right" vertical="center" wrapText="1"/>
    </xf>
    <xf numFmtId="0" fontId="29" fillId="4" borderId="40" xfId="0" applyFont="1" applyFill="1" applyBorder="1" applyAlignment="1" applyProtection="1">
      <alignment horizontal="center" vertical="center" wrapText="1"/>
      <protection locked="0"/>
    </xf>
    <xf numFmtId="0" fontId="29" fillId="4" borderId="64" xfId="0" applyFont="1" applyFill="1" applyBorder="1" applyAlignment="1" applyProtection="1">
      <alignment horizontal="center" vertical="center" wrapText="1"/>
      <protection locked="0"/>
    </xf>
    <xf numFmtId="0" fontId="30" fillId="2" borderId="65" xfId="0" applyFont="1" applyFill="1" applyBorder="1" applyAlignment="1">
      <alignment horizontal="right" vertical="center" wrapText="1"/>
    </xf>
    <xf numFmtId="0" fontId="29" fillId="4" borderId="65" xfId="0" applyFont="1" applyFill="1" applyBorder="1" applyAlignment="1" applyProtection="1">
      <alignment horizontal="center" vertical="center" wrapText="1"/>
      <protection locked="0"/>
    </xf>
    <xf numFmtId="183" fontId="24" fillId="2" borderId="4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alignment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82" fontId="23" fillId="2" borderId="33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center" vertical="center"/>
      <protection locked="0"/>
    </xf>
    <xf numFmtId="20" fontId="23" fillId="2" borderId="40" xfId="0" applyNumberFormat="1" applyFont="1" applyFill="1" applyBorder="1" applyAlignment="1" applyProtection="1">
      <alignment horizontal="center" vertical="center"/>
      <protection locked="0"/>
    </xf>
    <xf numFmtId="182" fontId="23" fillId="2" borderId="40" xfId="0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center" vertical="center" wrapText="1"/>
      <protection locked="0"/>
    </xf>
    <xf numFmtId="183" fontId="23" fillId="2" borderId="40" xfId="0" applyNumberFormat="1" applyFont="1" applyFill="1" applyBorder="1" applyAlignment="1" applyProtection="1">
      <alignment vertical="center" wrapText="1"/>
      <protection locked="0"/>
    </xf>
    <xf numFmtId="184" fontId="24" fillId="2" borderId="76" xfId="0" applyNumberFormat="1" applyFont="1" applyFill="1" applyBorder="1" applyAlignment="1" applyProtection="1">
      <alignment horizontal="center" vertical="center" wrapText="1"/>
      <protection locked="0"/>
    </xf>
    <xf numFmtId="183" fontId="24" fillId="2" borderId="58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8" fillId="2" borderId="1" xfId="0" applyFont="1" applyFill="1" applyBorder="1" applyProtection="1">
      <alignment vertical="center"/>
      <protection locked="0"/>
    </xf>
    <xf numFmtId="0" fontId="17" fillId="2" borderId="17" xfId="0" applyFont="1" applyFill="1" applyBorder="1" applyAlignment="1" applyProtection="1">
      <alignment horizontal="center" vertical="center" textRotation="255"/>
      <protection locked="0"/>
    </xf>
    <xf numFmtId="0" fontId="17" fillId="2" borderId="24" xfId="0" applyFont="1" applyFill="1" applyBorder="1" applyAlignment="1" applyProtection="1">
      <alignment horizontal="center" vertical="center" textRotation="255"/>
      <protection locked="0"/>
    </xf>
    <xf numFmtId="0" fontId="17" fillId="2" borderId="20" xfId="0" applyFont="1" applyFill="1" applyBorder="1" applyAlignment="1" applyProtection="1">
      <alignment horizontal="center" vertical="center"/>
      <protection locked="0"/>
    </xf>
    <xf numFmtId="0" fontId="17" fillId="2" borderId="26" xfId="0" applyFont="1" applyFill="1" applyBorder="1" applyAlignment="1" applyProtection="1">
      <alignment horizontal="center" vertical="center"/>
      <protection locked="0"/>
    </xf>
    <xf numFmtId="0" fontId="17" fillId="2" borderId="21" xfId="0" applyFont="1" applyFill="1" applyBorder="1" applyAlignment="1" applyProtection="1">
      <alignment horizontal="center" vertical="center" wrapText="1"/>
      <protection locked="0"/>
    </xf>
    <xf numFmtId="0" fontId="17" fillId="2" borderId="25" xfId="0" applyFont="1" applyFill="1" applyBorder="1" applyAlignment="1" applyProtection="1">
      <alignment horizontal="center" vertical="center" wrapText="1"/>
      <protection locked="0"/>
    </xf>
    <xf numFmtId="0" fontId="17" fillId="2" borderId="22" xfId="0" applyFont="1" applyFill="1" applyBorder="1" applyAlignment="1" applyProtection="1">
      <alignment horizontal="center" vertical="center" wrapText="1"/>
      <protection locked="0"/>
    </xf>
    <xf numFmtId="0" fontId="17" fillId="2" borderId="8" xfId="0" applyFont="1" applyFill="1" applyBorder="1" applyAlignment="1" applyProtection="1">
      <alignment horizontal="center" vertical="center" wrapText="1"/>
      <protection locked="0"/>
    </xf>
    <xf numFmtId="0" fontId="17" fillId="2" borderId="27" xfId="0" applyFont="1" applyFill="1" applyBorder="1" applyAlignment="1" applyProtection="1">
      <alignment horizontal="center" vertical="center" wrapText="1"/>
      <protection locked="0"/>
    </xf>
    <xf numFmtId="0" fontId="17" fillId="2" borderId="28" xfId="0" applyFont="1" applyFill="1" applyBorder="1" applyAlignment="1" applyProtection="1">
      <alignment horizontal="center" vertical="center" wrapText="1"/>
      <protection locked="0"/>
    </xf>
    <xf numFmtId="0" fontId="23" fillId="2" borderId="50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84" fontId="23" fillId="2" borderId="53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54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55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18" xfId="0" applyFont="1" applyFill="1" applyBorder="1" applyAlignment="1" applyProtection="1">
      <alignment horizontal="center" vertical="center" wrapText="1"/>
      <protection locked="0"/>
    </xf>
    <xf numFmtId="0" fontId="17" fillId="2" borderId="19" xfId="0" applyFont="1" applyFill="1" applyBorder="1" applyAlignment="1" applyProtection="1">
      <alignment horizontal="center" vertical="center" wrapText="1"/>
      <protection locked="0"/>
    </xf>
    <xf numFmtId="0" fontId="17" fillId="2" borderId="9" xfId="0" applyFont="1" applyFill="1" applyBorder="1" applyAlignment="1" applyProtection="1">
      <alignment horizontal="center" vertical="center" wrapText="1"/>
      <protection locked="0"/>
    </xf>
    <xf numFmtId="0" fontId="17" fillId="2" borderId="29" xfId="0" applyFont="1" applyFill="1" applyBorder="1" applyAlignment="1" applyProtection="1">
      <alignment horizontal="center" vertical="center" wrapText="1"/>
      <protection locked="0"/>
    </xf>
    <xf numFmtId="183" fontId="24" fillId="2" borderId="32" xfId="0" applyNumberFormat="1" applyFont="1" applyFill="1" applyBorder="1" applyAlignment="1" applyProtection="1">
      <alignment horizontal="left" vertical="center" wrapText="1"/>
      <protection locked="0"/>
    </xf>
    <xf numFmtId="183" fontId="24" fillId="2" borderId="37" xfId="0" applyNumberFormat="1" applyFont="1" applyFill="1" applyBorder="1" applyAlignment="1" applyProtection="1">
      <alignment horizontal="left" vertical="center" wrapText="1"/>
      <protection locked="0"/>
    </xf>
    <xf numFmtId="183" fontId="24" fillId="2" borderId="38" xfId="0" applyNumberFormat="1" applyFont="1" applyFill="1" applyBorder="1" applyAlignment="1" applyProtection="1">
      <alignment horizontal="left" vertical="center" wrapText="1"/>
      <protection locked="0"/>
    </xf>
    <xf numFmtId="184" fontId="24" fillId="2" borderId="39" xfId="0" applyNumberFormat="1" applyFont="1" applyFill="1" applyBorder="1" applyAlignment="1" applyProtection="1">
      <alignment horizontal="left" vertical="center" wrapText="1"/>
      <protection locked="0"/>
    </xf>
    <xf numFmtId="184" fontId="24" fillId="2" borderId="44" xfId="0" applyNumberFormat="1" applyFont="1" applyFill="1" applyBorder="1" applyAlignment="1" applyProtection="1">
      <alignment horizontal="left" vertical="center" wrapText="1"/>
      <protection locked="0"/>
    </xf>
    <xf numFmtId="184" fontId="24" fillId="2" borderId="45" xfId="0" applyNumberFormat="1" applyFont="1" applyFill="1" applyBorder="1" applyAlignment="1" applyProtection="1">
      <alignment horizontal="left" vertical="center" wrapText="1"/>
      <protection locked="0"/>
    </xf>
    <xf numFmtId="184" fontId="23" fillId="2" borderId="39" xfId="0" applyNumberFormat="1" applyFont="1" applyFill="1" applyBorder="1" applyAlignment="1" applyProtection="1">
      <alignment horizontal="left" vertical="center" wrapText="1"/>
      <protection locked="0"/>
    </xf>
    <xf numFmtId="184" fontId="23" fillId="2" borderId="44" xfId="0" applyNumberFormat="1" applyFont="1" applyFill="1" applyBorder="1" applyAlignment="1" applyProtection="1">
      <alignment horizontal="left" vertical="center" wrapText="1"/>
      <protection locked="0"/>
    </xf>
    <xf numFmtId="184" fontId="23" fillId="2" borderId="45" xfId="0" applyNumberFormat="1" applyFont="1" applyFill="1" applyBorder="1" applyAlignment="1" applyProtection="1">
      <alignment horizontal="left" vertical="center" wrapText="1"/>
      <protection locked="0"/>
    </xf>
    <xf numFmtId="0" fontId="17" fillId="2" borderId="23" xfId="0" applyFont="1" applyFill="1" applyBorder="1" applyAlignment="1" applyProtection="1">
      <alignment horizontal="center" vertical="center" wrapText="1"/>
      <protection locked="0"/>
    </xf>
    <xf numFmtId="0" fontId="23" fillId="2" borderId="33" xfId="0" applyFont="1" applyFill="1" applyBorder="1" applyProtection="1">
      <alignment vertical="center"/>
      <protection locked="0"/>
    </xf>
    <xf numFmtId="0" fontId="23" fillId="2" borderId="34" xfId="0" applyFont="1" applyFill="1" applyBorder="1" applyProtection="1">
      <alignment vertical="center"/>
      <protection locked="0"/>
    </xf>
    <xf numFmtId="0" fontId="23" fillId="2" borderId="39" xfId="0" applyFont="1" applyFill="1" applyBorder="1" applyProtection="1">
      <alignment vertical="center"/>
      <protection locked="0"/>
    </xf>
    <xf numFmtId="0" fontId="23" fillId="2" borderId="45" xfId="0" applyFont="1" applyFill="1" applyBorder="1" applyProtection="1">
      <alignment vertical="center"/>
      <protection locked="0"/>
    </xf>
    <xf numFmtId="184" fontId="23" fillId="0" borderId="39" xfId="0" applyNumberFormat="1" applyFont="1" applyBorder="1" applyAlignment="1" applyProtection="1">
      <alignment horizontal="left" vertical="center" wrapText="1"/>
      <protection locked="0"/>
    </xf>
    <xf numFmtId="184" fontId="23" fillId="0" borderId="44" xfId="0" applyNumberFormat="1" applyFont="1" applyBorder="1" applyAlignment="1" applyProtection="1">
      <alignment horizontal="left" vertical="center" wrapText="1"/>
      <protection locked="0"/>
    </xf>
    <xf numFmtId="184" fontId="23" fillId="0" borderId="45" xfId="0" applyNumberFormat="1" applyFont="1" applyBorder="1" applyAlignment="1" applyProtection="1">
      <alignment horizontal="left" vertical="center" wrapText="1"/>
      <protection locked="0"/>
    </xf>
    <xf numFmtId="0" fontId="23" fillId="2" borderId="39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184" fontId="23" fillId="2" borderId="39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44" xfId="0" applyNumberFormat="1" applyFont="1" applyFill="1" applyBorder="1" applyAlignment="1" applyProtection="1">
      <alignment horizontal="center" vertical="center" wrapText="1"/>
      <protection locked="0"/>
    </xf>
    <xf numFmtId="184" fontId="23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23" fillId="2" borderId="46" xfId="0" applyFont="1" applyFill="1" applyBorder="1" applyProtection="1">
      <alignment vertical="center"/>
      <protection locked="0"/>
    </xf>
    <xf numFmtId="0" fontId="23" fillId="2" borderId="47" xfId="0" applyFont="1" applyFill="1" applyBorder="1" applyProtection="1">
      <alignment vertical="center"/>
      <protection locked="0"/>
    </xf>
    <xf numFmtId="0" fontId="23" fillId="2" borderId="41" xfId="0" applyFont="1" applyFill="1" applyBorder="1" applyProtection="1">
      <alignment vertical="center"/>
      <protection locked="0"/>
    </xf>
    <xf numFmtId="0" fontId="23" fillId="2" borderId="13" xfId="0" applyFont="1" applyFill="1" applyBorder="1" applyProtection="1">
      <alignment vertical="center"/>
      <protection locked="0"/>
    </xf>
    <xf numFmtId="0" fontId="19" fillId="2" borderId="35" xfId="0" applyFont="1" applyFill="1" applyBorder="1" applyAlignment="1" applyProtection="1">
      <alignment horizontal="center" vertical="center" wrapText="1"/>
      <protection locked="0"/>
    </xf>
    <xf numFmtId="0" fontId="19" fillId="2" borderId="42" xfId="0" applyFont="1" applyFill="1" applyBorder="1" applyAlignment="1" applyProtection="1">
      <alignment horizontal="center" vertical="center" wrapText="1"/>
      <protection locked="0"/>
    </xf>
    <xf numFmtId="0" fontId="19" fillId="2" borderId="61" xfId="0" applyFont="1" applyFill="1" applyBorder="1" applyAlignment="1" applyProtection="1">
      <alignment horizontal="center" vertical="center" wrapText="1"/>
      <protection locked="0"/>
    </xf>
    <xf numFmtId="0" fontId="26" fillId="2" borderId="56" xfId="0" applyFont="1" applyFill="1" applyBorder="1" applyAlignment="1" applyProtection="1">
      <alignment vertical="center" wrapText="1"/>
      <protection locked="0"/>
    </xf>
    <xf numFmtId="0" fontId="19" fillId="2" borderId="56" xfId="0" applyFont="1" applyFill="1" applyBorder="1" applyAlignment="1" applyProtection="1">
      <alignment vertical="center" wrapText="1"/>
      <protection locked="0"/>
    </xf>
    <xf numFmtId="0" fontId="19" fillId="2" borderId="57" xfId="0" applyFont="1" applyFill="1" applyBorder="1" applyAlignment="1" applyProtection="1">
      <alignment vertical="center" wrapText="1"/>
      <protection locked="0"/>
    </xf>
    <xf numFmtId="0" fontId="19" fillId="2" borderId="0" xfId="0" applyFont="1" applyFill="1" applyAlignment="1" applyProtection="1">
      <alignment vertical="center" wrapText="1"/>
      <protection locked="0"/>
    </xf>
    <xf numFmtId="0" fontId="19" fillId="2" borderId="60" xfId="0" applyFont="1" applyFill="1" applyBorder="1" applyAlignment="1" applyProtection="1">
      <alignment vertical="center" wrapText="1"/>
      <protection locked="0"/>
    </xf>
    <xf numFmtId="0" fontId="19" fillId="2" borderId="1" xfId="0" applyFont="1" applyFill="1" applyBorder="1" applyAlignment="1" applyProtection="1">
      <alignment vertical="center" wrapText="1"/>
      <protection locked="0"/>
    </xf>
    <xf numFmtId="0" fontId="19" fillId="2" borderId="62" xfId="0" applyFont="1" applyFill="1" applyBorder="1" applyAlignment="1" applyProtection="1">
      <alignment vertical="center" wrapText="1"/>
      <protection locked="0"/>
    </xf>
    <xf numFmtId="0" fontId="17" fillId="3" borderId="33" xfId="0" applyFont="1" applyFill="1" applyBorder="1" applyAlignment="1" applyProtection="1">
      <alignment horizontal="center" vertical="center" textRotation="255"/>
      <protection locked="0"/>
    </xf>
    <xf numFmtId="0" fontId="17" fillId="3" borderId="41" xfId="0" applyFont="1" applyFill="1" applyBorder="1" applyAlignment="1" applyProtection="1">
      <alignment horizontal="center" vertical="center" textRotation="255"/>
      <protection locked="0"/>
    </xf>
    <xf numFmtId="0" fontId="17" fillId="3" borderId="63" xfId="0" applyFont="1" applyFill="1" applyBorder="1" applyAlignment="1" applyProtection="1">
      <alignment horizontal="center" vertical="center" textRotation="255"/>
      <protection locked="0"/>
    </xf>
    <xf numFmtId="183" fontId="30" fillId="2" borderId="32" xfId="0" applyNumberFormat="1" applyFont="1" applyFill="1" applyBorder="1" applyAlignment="1">
      <alignment horizontal="right" vertical="center" wrapText="1"/>
    </xf>
    <xf numFmtId="183" fontId="30" fillId="2" borderId="37" xfId="0" applyNumberFormat="1" applyFont="1" applyFill="1" applyBorder="1" applyAlignment="1">
      <alignment horizontal="right" vertical="center" wrapText="1"/>
    </xf>
    <xf numFmtId="183" fontId="30" fillId="2" borderId="38" xfId="0" applyNumberFormat="1" applyFont="1" applyFill="1" applyBorder="1" applyAlignment="1">
      <alignment horizontal="right" vertical="center" wrapText="1"/>
    </xf>
    <xf numFmtId="4" fontId="30" fillId="2" borderId="39" xfId="0" applyNumberFormat="1" applyFont="1" applyFill="1" applyBorder="1" applyAlignment="1">
      <alignment horizontal="right" vertical="center" wrapText="1"/>
    </xf>
    <xf numFmtId="4" fontId="30" fillId="2" borderId="44" xfId="0" applyNumberFormat="1" applyFont="1" applyFill="1" applyBorder="1" applyAlignment="1">
      <alignment horizontal="right" vertical="center" wrapText="1"/>
    </xf>
    <xf numFmtId="4" fontId="30" fillId="2" borderId="45" xfId="0" applyNumberFormat="1" applyFont="1" applyFill="1" applyBorder="1" applyAlignment="1">
      <alignment horizontal="right" vertical="center" wrapText="1"/>
    </xf>
    <xf numFmtId="4" fontId="30" fillId="2" borderId="66" xfId="0" applyNumberFormat="1" applyFont="1" applyFill="1" applyBorder="1" applyAlignment="1">
      <alignment horizontal="right" vertical="center" wrapText="1"/>
    </xf>
    <xf numFmtId="4" fontId="30" fillId="2" borderId="67" xfId="0" applyNumberFormat="1" applyFont="1" applyFill="1" applyBorder="1" applyAlignment="1">
      <alignment horizontal="right" vertical="center" wrapText="1"/>
    </xf>
    <xf numFmtId="4" fontId="30" fillId="2" borderId="68" xfId="0" applyNumberFormat="1" applyFont="1" applyFill="1" applyBorder="1" applyAlignment="1">
      <alignment horizontal="right" vertical="center" wrapText="1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17" fillId="2" borderId="9" xfId="0" applyFont="1" applyFill="1" applyBorder="1" applyAlignment="1" applyProtection="1">
      <alignment horizontal="center" vertical="center"/>
      <protection locked="0"/>
    </xf>
    <xf numFmtId="185" fontId="18" fillId="2" borderId="40" xfId="0" applyNumberFormat="1" applyFont="1" applyFill="1" applyBorder="1">
      <alignment vertical="center"/>
    </xf>
    <xf numFmtId="0" fontId="18" fillId="2" borderId="40" xfId="0" applyFont="1" applyFill="1" applyBorder="1" applyAlignment="1">
      <alignment horizontal="right" vertical="center"/>
    </xf>
    <xf numFmtId="183" fontId="18" fillId="2" borderId="40" xfId="0" applyNumberFormat="1" applyFont="1" applyFill="1" applyBorder="1">
      <alignment vertical="center"/>
    </xf>
    <xf numFmtId="183" fontId="18" fillId="2" borderId="71" xfId="0" applyNumberFormat="1" applyFont="1" applyFill="1" applyBorder="1">
      <alignment vertical="center"/>
    </xf>
    <xf numFmtId="186" fontId="18" fillId="2" borderId="39" xfId="0" applyNumberFormat="1" applyFont="1" applyFill="1" applyBorder="1">
      <alignment vertical="center"/>
    </xf>
    <xf numFmtId="186" fontId="18" fillId="2" borderId="75" xfId="0" applyNumberFormat="1" applyFont="1" applyFill="1" applyBorder="1">
      <alignment vertical="center"/>
    </xf>
    <xf numFmtId="0" fontId="17" fillId="2" borderId="69" xfId="0" applyFont="1" applyFill="1" applyBorder="1" applyAlignment="1" applyProtection="1">
      <alignment horizontal="center" vertical="center" textRotation="255"/>
      <protection locked="0"/>
    </xf>
    <xf numFmtId="0" fontId="17" fillId="2" borderId="42" xfId="0" applyFont="1" applyFill="1" applyBorder="1" applyAlignment="1" applyProtection="1">
      <alignment horizontal="center" vertical="center" textRotation="255"/>
      <protection locked="0"/>
    </xf>
    <xf numFmtId="0" fontId="17" fillId="2" borderId="61" xfId="0" applyFont="1" applyFill="1" applyBorder="1" applyAlignment="1" applyProtection="1">
      <alignment horizontal="center" vertical="center" textRotation="255"/>
      <protection locked="0"/>
    </xf>
    <xf numFmtId="0" fontId="19" fillId="2" borderId="22" xfId="0" applyFont="1" applyFill="1" applyBorder="1" applyAlignment="1" applyProtection="1">
      <alignment horizontal="left" vertical="top" wrapText="1"/>
      <protection locked="0"/>
    </xf>
    <xf numFmtId="0" fontId="19" fillId="2" borderId="8" xfId="0" applyFont="1" applyFill="1" applyBorder="1" applyAlignment="1" applyProtection="1">
      <alignment horizontal="left" vertical="top" wrapText="1"/>
      <protection locked="0"/>
    </xf>
    <xf numFmtId="0" fontId="19" fillId="2" borderId="9" xfId="0" applyFont="1" applyFill="1" applyBorder="1" applyAlignment="1" applyProtection="1">
      <alignment horizontal="left" vertical="top" wrapText="1"/>
      <protection locked="0"/>
    </xf>
    <xf numFmtId="0" fontId="19" fillId="2" borderId="41" xfId="0" applyFont="1" applyFill="1" applyBorder="1" applyAlignment="1" applyProtection="1">
      <alignment horizontal="left" vertical="top" wrapText="1"/>
      <protection locked="0"/>
    </xf>
    <xf numFmtId="0" fontId="19" fillId="2" borderId="0" xfId="0" applyFont="1" applyFill="1" applyAlignment="1" applyProtection="1">
      <alignment horizontal="left" vertical="top" wrapText="1"/>
      <protection locked="0"/>
    </xf>
    <xf numFmtId="0" fontId="19" fillId="2" borderId="13" xfId="0" applyFont="1" applyFill="1" applyBorder="1" applyAlignment="1" applyProtection="1">
      <alignment horizontal="left" vertical="top" wrapText="1"/>
      <protection locked="0"/>
    </xf>
    <xf numFmtId="0" fontId="19" fillId="2" borderId="63" xfId="0" applyFont="1" applyFill="1" applyBorder="1" applyAlignment="1" applyProtection="1">
      <alignment horizontal="left" vertical="top" wrapText="1"/>
      <protection locked="0"/>
    </xf>
    <xf numFmtId="0" fontId="19" fillId="2" borderId="1" xfId="0" applyFont="1" applyFill="1" applyBorder="1" applyAlignment="1" applyProtection="1">
      <alignment horizontal="left" vertical="top" wrapText="1"/>
      <protection locked="0"/>
    </xf>
    <xf numFmtId="0" fontId="19" fillId="2" borderId="16" xfId="0" applyFont="1" applyFill="1" applyBorder="1" applyAlignment="1" applyProtection="1">
      <alignment horizontal="left" vertical="top" wrapText="1"/>
      <protection locked="0"/>
    </xf>
    <xf numFmtId="0" fontId="17" fillId="2" borderId="7" xfId="0" applyFont="1" applyFill="1" applyBorder="1" applyAlignment="1" applyProtection="1">
      <alignment horizontal="center" vertical="center" wrapText="1"/>
      <protection locked="0"/>
    </xf>
    <xf numFmtId="0" fontId="17" fillId="2" borderId="70" xfId="0" applyFont="1" applyFill="1" applyBorder="1" applyAlignment="1" applyProtection="1">
      <alignment horizontal="center" vertical="center" wrapText="1"/>
      <protection locked="0"/>
    </xf>
    <xf numFmtId="0" fontId="17" fillId="2" borderId="12" xfId="0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 applyAlignment="1" applyProtection="1">
      <alignment horizontal="center" vertical="center" wrapText="1"/>
      <protection locked="0"/>
    </xf>
    <xf numFmtId="0" fontId="17" fillId="2" borderId="60" xfId="0" applyFont="1" applyFill="1" applyBorder="1" applyAlignment="1" applyProtection="1">
      <alignment horizontal="center" vertical="center" wrapText="1"/>
      <protection locked="0"/>
    </xf>
    <xf numFmtId="0" fontId="17" fillId="2" borderId="15" xfId="0" applyFont="1" applyFill="1" applyBorder="1" applyAlignment="1" applyProtection="1">
      <alignment horizontal="center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0" fontId="17" fillId="2" borderId="62" xfId="0" applyFont="1" applyFill="1" applyBorder="1" applyAlignment="1" applyProtection="1">
      <alignment horizontal="center" vertical="center" wrapText="1"/>
      <protection locked="0"/>
    </xf>
    <xf numFmtId="0" fontId="17" fillId="2" borderId="22" xfId="0" applyFont="1" applyFill="1" applyBorder="1" applyAlignment="1" applyProtection="1">
      <alignment horizontal="center" vertical="center"/>
      <protection locked="0"/>
    </xf>
    <xf numFmtId="0" fontId="17" fillId="2" borderId="70" xfId="0" applyFont="1" applyFill="1" applyBorder="1" applyAlignment="1" applyProtection="1">
      <alignment horizontal="center" vertical="center"/>
      <protection locked="0"/>
    </xf>
    <xf numFmtId="0" fontId="32" fillId="2" borderId="22" xfId="19" applyFont="1" applyFill="1" applyBorder="1" applyAlignment="1" applyProtection="1">
      <alignment horizontal="center" vertical="center"/>
      <protection locked="0"/>
    </xf>
    <xf numFmtId="0" fontId="32" fillId="2" borderId="70" xfId="19" applyFont="1" applyFill="1" applyBorder="1" applyAlignment="1" applyProtection="1">
      <alignment horizontal="center" vertical="center"/>
      <protection locked="0"/>
    </xf>
    <xf numFmtId="0" fontId="17" fillId="2" borderId="32" xfId="0" applyFont="1" applyFill="1" applyBorder="1" applyAlignment="1" applyProtection="1">
      <alignment horizontal="center" vertical="center"/>
      <protection locked="0"/>
    </xf>
    <xf numFmtId="0" fontId="17" fillId="2" borderId="37" xfId="0" applyFont="1" applyFill="1" applyBorder="1" applyAlignment="1" applyProtection="1">
      <alignment horizontal="center" vertical="center"/>
      <protection locked="0"/>
    </xf>
    <xf numFmtId="0" fontId="17" fillId="2" borderId="73" xfId="0" applyFont="1" applyFill="1" applyBorder="1" applyAlignment="1" applyProtection="1">
      <alignment horizontal="center" vertical="center"/>
      <protection locked="0"/>
    </xf>
    <xf numFmtId="0" fontId="18" fillId="2" borderId="37" xfId="0" applyFont="1" applyFill="1" applyBorder="1" applyProtection="1">
      <alignment vertical="center"/>
      <protection locked="0"/>
    </xf>
    <xf numFmtId="0" fontId="18" fillId="2" borderId="38" xfId="0" applyFont="1" applyFill="1" applyBorder="1" applyProtection="1">
      <alignment vertical="center"/>
      <protection locked="0"/>
    </xf>
    <xf numFmtId="0" fontId="17" fillId="2" borderId="66" xfId="0" applyFont="1" applyFill="1" applyBorder="1" applyAlignment="1" applyProtection="1">
      <alignment horizontal="center" vertical="center"/>
      <protection locked="0"/>
    </xf>
    <xf numFmtId="0" fontId="17" fillId="2" borderId="67" xfId="0" applyFont="1" applyFill="1" applyBorder="1" applyAlignment="1" applyProtection="1">
      <alignment horizontal="center" vertical="center"/>
      <protection locked="0"/>
    </xf>
    <xf numFmtId="0" fontId="17" fillId="2" borderId="74" xfId="0" applyFont="1" applyFill="1" applyBorder="1" applyAlignment="1" applyProtection="1">
      <alignment horizontal="center" vertical="center"/>
      <protection locked="0"/>
    </xf>
    <xf numFmtId="187" fontId="18" fillId="2" borderId="67" xfId="0" applyNumberFormat="1" applyFont="1" applyFill="1" applyBorder="1">
      <alignment vertical="center"/>
    </xf>
    <xf numFmtId="187" fontId="18" fillId="2" borderId="68" xfId="0" applyNumberFormat="1" applyFont="1" applyFill="1" applyBorder="1">
      <alignment vertical="center"/>
    </xf>
    <xf numFmtId="3" fontId="18" fillId="2" borderId="40" xfId="0" applyNumberFormat="1" applyFont="1" applyFill="1" applyBorder="1">
      <alignment vertical="center"/>
    </xf>
    <xf numFmtId="4" fontId="18" fillId="2" borderId="27" xfId="0" applyNumberFormat="1" applyFont="1" applyFill="1" applyBorder="1">
      <alignment vertical="center"/>
    </xf>
    <xf numFmtId="4" fontId="18" fillId="2" borderId="72" xfId="0" applyNumberFormat="1" applyFont="1" applyFill="1" applyBorder="1">
      <alignment vertical="center"/>
    </xf>
    <xf numFmtId="0" fontId="18" fillId="2" borderId="27" xfId="0" applyFont="1" applyFill="1" applyBorder="1" applyAlignment="1">
      <alignment horizontal="right" vertical="center"/>
    </xf>
    <xf numFmtId="0" fontId="18" fillId="2" borderId="72" xfId="0" applyFont="1" applyFill="1" applyBorder="1" applyAlignment="1">
      <alignment horizontal="right" vertical="center"/>
    </xf>
    <xf numFmtId="183" fontId="18" fillId="2" borderId="28" xfId="0" applyNumberFormat="1" applyFont="1" applyFill="1" applyBorder="1">
      <alignment vertical="center"/>
    </xf>
    <xf numFmtId="183" fontId="18" fillId="2" borderId="29" xfId="0" applyNumberFormat="1" applyFont="1" applyFill="1" applyBorder="1">
      <alignment vertical="center"/>
    </xf>
    <xf numFmtId="14" fontId="8" fillId="0" borderId="4" xfId="2" applyNumberFormat="1" applyFont="1" applyBorder="1" applyAlignment="1">
      <alignment horizontal="center" vertical="center" wrapText="1"/>
    </xf>
    <xf numFmtId="14" fontId="8" fillId="0" borderId="5" xfId="2" applyNumberFormat="1" applyFont="1" applyBorder="1" applyAlignment="1">
      <alignment horizontal="center" vertical="center" wrapText="1"/>
    </xf>
    <xf numFmtId="14" fontId="8" fillId="0" borderId="6" xfId="2" applyNumberFormat="1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0" fontId="4" fillId="0" borderId="2" xfId="2" applyFont="1" applyBorder="1" applyAlignment="1">
      <alignment horizontal="right" vertical="center" wrapText="1"/>
    </xf>
    <xf numFmtId="176" fontId="6" fillId="0" borderId="1" xfId="2" applyNumberFormat="1" applyFont="1" applyBorder="1" applyAlignment="1">
      <alignment horizontal="left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6" fontId="8" fillId="0" borderId="8" xfId="2" applyNumberFormat="1" applyFont="1" applyBorder="1" applyAlignment="1">
      <alignment horizontal="center" vertical="center" wrapText="1"/>
    </xf>
    <xf numFmtId="6" fontId="8" fillId="0" borderId="9" xfId="2" applyNumberFormat="1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left" vertical="center" wrapText="1"/>
    </xf>
    <xf numFmtId="0" fontId="7" fillId="0" borderId="8" xfId="2" applyFont="1" applyBorder="1" applyAlignment="1">
      <alignment horizontal="left" vertical="center" wrapText="1"/>
    </xf>
    <xf numFmtId="0" fontId="7" fillId="0" borderId="9" xfId="2" applyFont="1" applyBorder="1" applyAlignment="1">
      <alignment horizontal="left" vertical="center" wrapText="1"/>
    </xf>
    <xf numFmtId="0" fontId="7" fillId="0" borderId="12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5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177" fontId="9" fillId="0" borderId="4" xfId="2" applyNumberFormat="1" applyFont="1" applyBorder="1" applyAlignment="1">
      <alignment horizontal="center" vertical="center" wrapText="1"/>
    </xf>
    <xf numFmtId="177" fontId="9" fillId="0" borderId="6" xfId="2" applyNumberFormat="1" applyFont="1" applyBorder="1" applyAlignment="1">
      <alignment horizontal="center" vertical="center" wrapText="1"/>
    </xf>
    <xf numFmtId="178" fontId="8" fillId="0" borderId="4" xfId="2" applyNumberFormat="1" applyFont="1" applyBorder="1" applyAlignment="1">
      <alignment horizontal="center" vertical="center" wrapText="1"/>
    </xf>
    <xf numFmtId="178" fontId="8" fillId="0" borderId="5" xfId="2" applyNumberFormat="1" applyFont="1" applyBorder="1" applyAlignment="1">
      <alignment horizontal="center" vertical="center" wrapText="1"/>
    </xf>
    <xf numFmtId="178" fontId="8" fillId="0" borderId="6" xfId="2" applyNumberFormat="1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14" fontId="9" fillId="0" borderId="8" xfId="2" applyNumberFormat="1" applyFont="1" applyBorder="1" applyAlignment="1">
      <alignment horizontal="center" vertical="center" wrapText="1"/>
    </xf>
    <xf numFmtId="14" fontId="9" fillId="0" borderId="9" xfId="2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</cellXfs>
  <cellStyles count="20">
    <cellStyle name="一般" xfId="0" builtinId="0"/>
    <cellStyle name="一般 10" xfId="3" xr:uid="{00000000-0005-0000-0000-000001000000}"/>
    <cellStyle name="一般 11" xfId="4" xr:uid="{00000000-0005-0000-0000-000002000000}"/>
    <cellStyle name="一般 2" xfId="5" xr:uid="{00000000-0005-0000-0000-000003000000}"/>
    <cellStyle name="一般 3" xfId="6" xr:uid="{00000000-0005-0000-0000-000004000000}"/>
    <cellStyle name="一般 4" xfId="7" xr:uid="{00000000-0005-0000-0000-000005000000}"/>
    <cellStyle name="一般 4 2" xfId="8" xr:uid="{00000000-0005-0000-0000-000006000000}"/>
    <cellStyle name="一般 5" xfId="9" xr:uid="{00000000-0005-0000-0000-000007000000}"/>
    <cellStyle name="一般 6" xfId="10" xr:uid="{00000000-0005-0000-0000-000008000000}"/>
    <cellStyle name="一般 6 2" xfId="11" xr:uid="{00000000-0005-0000-0000-000009000000}"/>
    <cellStyle name="一般 7" xfId="12" xr:uid="{00000000-0005-0000-0000-00000A000000}"/>
    <cellStyle name="一般 7 2" xfId="13" xr:uid="{00000000-0005-0000-0000-00000B000000}"/>
    <cellStyle name="一般 8" xfId="14" xr:uid="{00000000-0005-0000-0000-00000C000000}"/>
    <cellStyle name="一般 9" xfId="2" xr:uid="{00000000-0005-0000-0000-00000D000000}"/>
    <cellStyle name="一般 9 2" xfId="15" xr:uid="{00000000-0005-0000-0000-00000E000000}"/>
    <cellStyle name="貨幣" xfId="1" builtinId="4"/>
    <cellStyle name="貨幣 2" xfId="16" xr:uid="{00000000-0005-0000-0000-000010000000}"/>
    <cellStyle name="貨幣 2 2" xfId="17" xr:uid="{00000000-0005-0000-0000-000011000000}"/>
    <cellStyle name="貨幣 3" xfId="18" xr:uid="{00000000-0005-0000-0000-000012000000}"/>
    <cellStyle name="超連結" xfId="19" builtinId="8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4"/>
  <sheetViews>
    <sheetView zoomScale="120" zoomScaleNormal="120" workbookViewId="0">
      <selection activeCell="I6" sqref="I6"/>
    </sheetView>
  </sheetViews>
  <sheetFormatPr defaultColWidth="8.88671875" defaultRowHeight="16.2"/>
  <cols>
    <col min="1" max="1" width="4.88671875" style="61" customWidth="1"/>
    <col min="2" max="3" width="4.88671875" style="62" customWidth="1"/>
    <col min="4" max="4" width="12" style="61" customWidth="1"/>
    <col min="5" max="5" width="8.109375" style="61" customWidth="1"/>
    <col min="6" max="6" width="16.109375" style="61" customWidth="1"/>
    <col min="7" max="7" width="14.77734375" style="61" customWidth="1"/>
    <col min="8" max="8" width="4.88671875" style="61" customWidth="1"/>
    <col min="9" max="9" width="5.5546875" style="61" customWidth="1"/>
    <col min="10" max="10" width="9.44140625" style="61" customWidth="1"/>
    <col min="11" max="11" width="5.5546875" style="61" customWidth="1"/>
    <col min="12" max="12" width="10.77734375" style="61" customWidth="1"/>
    <col min="13" max="13" width="5.5546875" style="61" customWidth="1"/>
    <col min="14" max="14" width="9.44140625" style="61" customWidth="1"/>
    <col min="15" max="15" width="5.5546875" style="61" customWidth="1"/>
    <col min="16" max="16" width="9.44140625" style="61" customWidth="1"/>
    <col min="17" max="18" width="4.44140625" style="61" customWidth="1"/>
    <col min="19" max="19" width="6.44140625" style="61" customWidth="1"/>
    <col min="20" max="21" width="2.44140625" style="13" customWidth="1"/>
    <col min="22" max="22" width="7.44140625" style="14" bestFit="1" customWidth="1"/>
    <col min="23" max="16384" width="8.88671875" style="13"/>
  </cols>
  <sheetData>
    <row r="1" spans="1:22" ht="29.4">
      <c r="A1" s="71" t="s">
        <v>28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22" ht="23.4">
      <c r="A2" s="73" t="s">
        <v>29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22" ht="16.8" thickBot="1">
      <c r="A3" s="74" t="s">
        <v>30</v>
      </c>
      <c r="B3" s="74"/>
      <c r="C3" s="74"/>
      <c r="D3" s="15"/>
      <c r="E3" s="16" t="s">
        <v>31</v>
      </c>
      <c r="F3" s="15"/>
      <c r="G3" s="17" t="s">
        <v>70</v>
      </c>
      <c r="H3" s="75"/>
      <c r="I3" s="75"/>
      <c r="J3" s="75"/>
      <c r="K3" s="76" t="s">
        <v>71</v>
      </c>
      <c r="L3" s="76"/>
      <c r="M3" s="75"/>
      <c r="N3" s="75"/>
      <c r="O3" s="75"/>
      <c r="P3" s="18" t="s">
        <v>32</v>
      </c>
      <c r="Q3" s="77"/>
      <c r="R3" s="77"/>
      <c r="S3" s="77"/>
    </row>
    <row r="4" spans="1:22">
      <c r="A4" s="78" t="s">
        <v>33</v>
      </c>
      <c r="B4" s="19">
        <v>115</v>
      </c>
      <c r="C4" s="20" t="s">
        <v>34</v>
      </c>
      <c r="D4" s="80" t="s">
        <v>35</v>
      </c>
      <c r="E4" s="82" t="s">
        <v>36</v>
      </c>
      <c r="F4" s="82" t="s">
        <v>37</v>
      </c>
      <c r="G4" s="84" t="s">
        <v>38</v>
      </c>
      <c r="H4" s="85"/>
      <c r="I4" s="106" t="s">
        <v>39</v>
      </c>
      <c r="J4" s="94"/>
      <c r="K4" s="93" t="s">
        <v>40</v>
      </c>
      <c r="L4" s="94"/>
      <c r="M4" s="93" t="s">
        <v>41</v>
      </c>
      <c r="N4" s="94"/>
      <c r="O4" s="93" t="s">
        <v>42</v>
      </c>
      <c r="P4" s="94"/>
      <c r="Q4" s="84" t="s">
        <v>43</v>
      </c>
      <c r="R4" s="85"/>
      <c r="S4" s="95"/>
    </row>
    <row r="5" spans="1:22" ht="16.8" thickBot="1">
      <c r="A5" s="79"/>
      <c r="B5" s="21" t="s">
        <v>44</v>
      </c>
      <c r="C5" s="21" t="s">
        <v>45</v>
      </c>
      <c r="D5" s="81"/>
      <c r="E5" s="83"/>
      <c r="F5" s="83"/>
      <c r="G5" s="86"/>
      <c r="H5" s="87"/>
      <c r="I5" s="22" t="s">
        <v>46</v>
      </c>
      <c r="J5" s="67" t="s">
        <v>47</v>
      </c>
      <c r="K5" s="23" t="s">
        <v>46</v>
      </c>
      <c r="L5" s="23" t="s">
        <v>47</v>
      </c>
      <c r="M5" s="23" t="s">
        <v>46</v>
      </c>
      <c r="N5" s="23" t="s">
        <v>47</v>
      </c>
      <c r="O5" s="23" t="s">
        <v>46</v>
      </c>
      <c r="P5" s="23" t="s">
        <v>47</v>
      </c>
      <c r="Q5" s="86"/>
      <c r="R5" s="87"/>
      <c r="S5" s="96"/>
      <c r="V5" s="24"/>
    </row>
    <row r="6" spans="1:22" ht="23.4" thickTop="1">
      <c r="A6" s="25">
        <f t="shared" ref="A6:A13" si="0">ROW()-5</f>
        <v>1</v>
      </c>
      <c r="B6" s="26"/>
      <c r="C6" s="27"/>
      <c r="D6" s="63"/>
      <c r="E6" s="64"/>
      <c r="F6" s="64"/>
      <c r="G6" s="107"/>
      <c r="H6" s="108"/>
      <c r="I6" s="70"/>
      <c r="J6" s="68"/>
      <c r="K6" s="29"/>
      <c r="L6" s="30"/>
      <c r="M6" s="29"/>
      <c r="N6" s="31"/>
      <c r="O6" s="29"/>
      <c r="P6" s="31"/>
      <c r="Q6" s="97"/>
      <c r="R6" s="98"/>
      <c r="S6" s="99"/>
      <c r="V6" s="32" t="s">
        <v>49</v>
      </c>
    </row>
    <row r="7" spans="1:22" ht="22.8">
      <c r="A7" s="25">
        <f t="shared" si="0"/>
        <v>2</v>
      </c>
      <c r="B7" s="26"/>
      <c r="C7" s="27"/>
      <c r="D7" s="65"/>
      <c r="E7" s="34"/>
      <c r="F7" s="34"/>
      <c r="G7" s="109"/>
      <c r="H7" s="110"/>
      <c r="I7" s="69"/>
      <c r="J7" s="68"/>
      <c r="K7" s="37"/>
      <c r="L7" s="36"/>
      <c r="M7" s="37"/>
      <c r="N7" s="38"/>
      <c r="O7" s="37"/>
      <c r="P7" s="38"/>
      <c r="Q7" s="100"/>
      <c r="R7" s="101"/>
      <c r="S7" s="102"/>
      <c r="V7" s="32" t="s">
        <v>50</v>
      </c>
    </row>
    <row r="8" spans="1:22" ht="22.8">
      <c r="A8" s="25">
        <f t="shared" si="0"/>
        <v>3</v>
      </c>
      <c r="B8" s="26"/>
      <c r="C8" s="27"/>
      <c r="D8" s="34"/>
      <c r="E8" s="34"/>
      <c r="F8" s="34"/>
      <c r="G8" s="109"/>
      <c r="H8" s="110"/>
      <c r="I8" s="69"/>
      <c r="J8" s="68"/>
      <c r="K8" s="69"/>
      <c r="L8" s="38"/>
      <c r="M8" s="37"/>
      <c r="N8" s="38"/>
      <c r="O8" s="37"/>
      <c r="P8" s="38"/>
      <c r="Q8" s="103"/>
      <c r="R8" s="104"/>
      <c r="S8" s="105"/>
      <c r="V8" s="32" t="s">
        <v>51</v>
      </c>
    </row>
    <row r="9" spans="1:22" ht="22.8">
      <c r="A9" s="25">
        <f t="shared" si="0"/>
        <v>4</v>
      </c>
      <c r="B9" s="26"/>
      <c r="C9" s="27"/>
      <c r="D9" s="34"/>
      <c r="E9" s="34"/>
      <c r="F9" s="34"/>
      <c r="G9" s="119"/>
      <c r="H9" s="120"/>
      <c r="I9" s="69"/>
      <c r="J9" s="68"/>
      <c r="K9" s="69"/>
      <c r="L9" s="38"/>
      <c r="M9" s="35"/>
      <c r="N9" s="38"/>
      <c r="O9" s="39"/>
      <c r="P9" s="40"/>
      <c r="Q9" s="111"/>
      <c r="R9" s="112"/>
      <c r="S9" s="113"/>
      <c r="V9" s="32" t="s">
        <v>52</v>
      </c>
    </row>
    <row r="10" spans="1:22" ht="22.8">
      <c r="A10" s="25">
        <f t="shared" si="0"/>
        <v>5</v>
      </c>
      <c r="B10" s="26"/>
      <c r="C10" s="27"/>
      <c r="D10" s="34"/>
      <c r="E10" s="34"/>
      <c r="F10" s="34"/>
      <c r="G10" s="119"/>
      <c r="H10" s="120"/>
      <c r="I10" s="69"/>
      <c r="J10" s="68"/>
      <c r="K10" s="69"/>
      <c r="L10" s="38"/>
      <c r="M10" s="35"/>
      <c r="N10" s="38"/>
      <c r="O10" s="35"/>
      <c r="P10" s="36"/>
      <c r="Q10" s="103"/>
      <c r="R10" s="104"/>
      <c r="S10" s="105"/>
      <c r="V10" s="32" t="s">
        <v>53</v>
      </c>
    </row>
    <row r="11" spans="1:22" ht="24.6" customHeight="1">
      <c r="A11" s="25">
        <f t="shared" si="0"/>
        <v>6</v>
      </c>
      <c r="B11" s="26"/>
      <c r="C11" s="27"/>
      <c r="D11" s="34"/>
      <c r="E11" s="34"/>
      <c r="F11" s="66"/>
      <c r="G11" s="121"/>
      <c r="H11" s="122"/>
      <c r="I11" s="69"/>
      <c r="J11" s="36"/>
      <c r="K11" s="69"/>
      <c r="L11" s="38"/>
      <c r="M11" s="37"/>
      <c r="N11" s="38"/>
      <c r="O11" s="37"/>
      <c r="P11" s="38"/>
      <c r="Q11" s="103"/>
      <c r="R11" s="104"/>
      <c r="S11" s="105"/>
      <c r="V11" s="32" t="s">
        <v>54</v>
      </c>
    </row>
    <row r="12" spans="1:22" ht="24.6" customHeight="1">
      <c r="A12" s="25">
        <f t="shared" si="0"/>
        <v>7</v>
      </c>
      <c r="B12" s="26"/>
      <c r="C12" s="27"/>
      <c r="D12" s="33"/>
      <c r="E12" s="28"/>
      <c r="F12" s="34"/>
      <c r="G12" s="114"/>
      <c r="H12" s="115"/>
      <c r="I12" s="42"/>
      <c r="J12" s="38"/>
      <c r="K12" s="35"/>
      <c r="L12" s="38"/>
      <c r="M12" s="37"/>
      <c r="N12" s="38"/>
      <c r="O12" s="37"/>
      <c r="P12" s="38"/>
      <c r="Q12" s="116"/>
      <c r="R12" s="117"/>
      <c r="S12" s="118"/>
      <c r="V12" s="32" t="s">
        <v>55</v>
      </c>
    </row>
    <row r="13" spans="1:22" ht="24.6" customHeight="1" thickBot="1">
      <c r="A13" s="25">
        <f t="shared" si="0"/>
        <v>8</v>
      </c>
      <c r="B13" s="26"/>
      <c r="C13" s="27"/>
      <c r="D13" s="41"/>
      <c r="E13" s="43"/>
      <c r="F13" s="43"/>
      <c r="G13" s="88"/>
      <c r="H13" s="89"/>
      <c r="I13" s="44"/>
      <c r="J13" s="45"/>
      <c r="K13" s="46"/>
      <c r="L13" s="47"/>
      <c r="M13" s="48"/>
      <c r="N13" s="47"/>
      <c r="O13" s="48"/>
      <c r="P13" s="49"/>
      <c r="Q13" s="90"/>
      <c r="R13" s="91"/>
      <c r="S13" s="92"/>
      <c r="V13" s="32" t="s">
        <v>56</v>
      </c>
    </row>
    <row r="14" spans="1:22" ht="27" customHeight="1" thickTop="1">
      <c r="A14" s="123" t="s">
        <v>57</v>
      </c>
      <c r="B14" s="126" t="s">
        <v>58</v>
      </c>
      <c r="C14" s="127"/>
      <c r="D14" s="127"/>
      <c r="E14" s="127"/>
      <c r="F14" s="127"/>
      <c r="G14" s="128"/>
      <c r="H14" s="133" t="s">
        <v>59</v>
      </c>
      <c r="I14" s="50" t="s">
        <v>48</v>
      </c>
      <c r="J14" s="51">
        <f>SUM(J6:J11)</f>
        <v>0</v>
      </c>
      <c r="K14" s="52" t="s">
        <v>48</v>
      </c>
      <c r="L14" s="53" t="str">
        <f>IF(SUMIFS($L$6:$L$13,$K$6:$K$13,K14)&gt;0,SUMIFS($L$6:$L$13,$K$6:$K$13,K14),"")</f>
        <v/>
      </c>
      <c r="M14" s="52" t="s">
        <v>48</v>
      </c>
      <c r="N14" s="53" t="str">
        <f>IF(SUMIFS($N$6:$N$13,$M$6:$M$13,M14)&gt;0,SUMIFS($N$6:$N$13,$M$6:$M$13,M14),"")</f>
        <v/>
      </c>
      <c r="O14" s="52" t="s">
        <v>48</v>
      </c>
      <c r="P14" s="53" t="str">
        <f>IF(SUMIFS($P$6:$P$13,$O$6:$O$13,O14)&gt;0,SUMIFS($P$6:$P$13,$O$6:$O$13,O14),"")</f>
        <v/>
      </c>
      <c r="Q14" s="136" t="str">
        <f>IF(SUMIFS(R$6:R$13,Q$6:Q$13,#REF!)&gt;0,SUMIFS(R$6:R$13,Q$6:Q$13,#REF!),"")</f>
        <v/>
      </c>
      <c r="R14" s="137"/>
      <c r="S14" s="138"/>
      <c r="V14" s="32" t="s">
        <v>60</v>
      </c>
    </row>
    <row r="15" spans="1:22" ht="27" customHeight="1">
      <c r="A15" s="124"/>
      <c r="B15" s="129"/>
      <c r="C15" s="129"/>
      <c r="D15" s="129"/>
      <c r="E15" s="129"/>
      <c r="F15" s="129"/>
      <c r="G15" s="130"/>
      <c r="H15" s="134"/>
      <c r="I15" s="54"/>
      <c r="J15" s="55" t="str">
        <f>IF(SUMIFS($J$6:$J$13,$I$6:$I$13,I15)&gt;0,SUMIFS($J$6:$J$13,$I$6:$I$13,I15),"")</f>
        <v/>
      </c>
      <c r="K15" s="56"/>
      <c r="L15" s="55" t="str">
        <f>IF(SUMIFS($L$6:$L$13,$K$6:$K$13,K15)&gt;0,SUMIFS($L$6:$L$13,$K$6:$K$13,K15),"")</f>
        <v/>
      </c>
      <c r="M15" s="56"/>
      <c r="N15" s="55" t="str">
        <f>IF(SUMIFS($N$6:$N$13,$M$6:$M$13,M15)&gt;0,SUMIFS($N$6:$N$13,$M$6:$M$13,M15),"")</f>
        <v/>
      </c>
      <c r="O15" s="56"/>
      <c r="P15" s="55" t="str">
        <f>IF(SUMIFS($P$6:$P$13,$O$6:$O$13,O15)&gt;0,SUMIFS($P$6:$P$13,$O$6:$O$13,O15),"")</f>
        <v/>
      </c>
      <c r="Q15" s="139" t="str">
        <f>IF(SUMIFS(R$6:R$13,Q$6:Q$13,#REF!)&gt;0,SUMIFS(R$6:R$13,Q$6:Q$13,#REF!),"")</f>
        <v/>
      </c>
      <c r="R15" s="140"/>
      <c r="S15" s="141"/>
      <c r="V15" s="32" t="s">
        <v>61</v>
      </c>
    </row>
    <row r="16" spans="1:22" ht="27" customHeight="1">
      <c r="A16" s="124"/>
      <c r="B16" s="129"/>
      <c r="C16" s="129"/>
      <c r="D16" s="129"/>
      <c r="E16" s="129"/>
      <c r="F16" s="129"/>
      <c r="G16" s="130"/>
      <c r="H16" s="134"/>
      <c r="I16" s="54"/>
      <c r="J16" s="55" t="str">
        <f>IF(SUMIFS($J$6:$J$13,$I$6:$I$13,I16)&gt;0,SUMIFS($J$6:$J$13,$I$6:$I$13,I16),"")</f>
        <v/>
      </c>
      <c r="K16" s="56"/>
      <c r="L16" s="55" t="str">
        <f>IF(SUMIFS($L$6:$L$13,$K$6:$K$13,K16)&gt;0,SUMIFS($L$6:$L$13,$K$6:$K$13,K16),"")</f>
        <v/>
      </c>
      <c r="M16" s="56"/>
      <c r="N16" s="55" t="str">
        <f>IF(SUMIFS($N$6:$N$13,$M$6:$M$13,M16)&gt;0,SUMIFS($N$6:$N$13,$M$6:$M$13,M16),"")</f>
        <v/>
      </c>
      <c r="O16" s="56"/>
      <c r="P16" s="55" t="str">
        <f>IF(SUMIFS($P$6:$P$13,$O$6:$O$13,O16)&gt;0,SUMIFS($P$6:$P$13,$O$6:$O$13,O16),"")</f>
        <v/>
      </c>
      <c r="Q16" s="139" t="str">
        <f>IF(SUMIFS(R$6:R$13,Q$6:Q$13,#REF!)&gt;0,SUMIFS(R$6:R$13,Q$6:Q$13,#REF!),"")</f>
        <v/>
      </c>
      <c r="R16" s="140"/>
      <c r="S16" s="141"/>
      <c r="V16" s="32" t="s">
        <v>62</v>
      </c>
    </row>
    <row r="17" spans="1:19" ht="27" customHeight="1" thickBot="1">
      <c r="A17" s="125"/>
      <c r="B17" s="131"/>
      <c r="C17" s="131"/>
      <c r="D17" s="131"/>
      <c r="E17" s="131"/>
      <c r="F17" s="131"/>
      <c r="G17" s="132"/>
      <c r="H17" s="135"/>
      <c r="I17" s="57"/>
      <c r="J17" s="58" t="str">
        <f>IF(SUMIFS($J$6:$J$13,$I$6:$I$13,I17)&gt;0,SUMIFS($J$6:$J$13,$I$6:$I$13,I17),"")</f>
        <v/>
      </c>
      <c r="K17" s="59"/>
      <c r="L17" s="58" t="str">
        <f>IF(SUMIFS($L$6:$L$13,$K$6:$K$13,K17)&gt;0,SUMIFS($L$6:$L$13,$K$6:$K$13,K17),"")</f>
        <v/>
      </c>
      <c r="M17" s="59"/>
      <c r="N17" s="58" t="str">
        <f>IF(SUMIFS($N$6:$N$13,$M$6:$M$13,M17)&gt;0,SUMIFS($N$6:$N$13,$M$6:$M$13,M17),"")</f>
        <v/>
      </c>
      <c r="O17" s="59"/>
      <c r="P17" s="58" t="str">
        <f>IF(SUMIFS($P$6:$P$13,$O$6:$O$13,O17)&gt;0,SUMIFS($P$6:$P$13,$O$6:$O$13,O17),"")</f>
        <v/>
      </c>
      <c r="Q17" s="142" t="str">
        <f>IF(SUMIFS(R$6:R$13,Q$6:Q$13,#REF!)&gt;0,SUMIFS(R$6:R$13,Q$6:Q$13,#REF!),"")</f>
        <v/>
      </c>
      <c r="R17" s="143"/>
      <c r="S17" s="144"/>
    </row>
    <row r="18" spans="1:19" ht="20.399999999999999" customHeight="1">
      <c r="A18" s="153" t="s">
        <v>43</v>
      </c>
      <c r="B18" s="156" t="s">
        <v>63</v>
      </c>
      <c r="C18" s="157"/>
      <c r="D18" s="157"/>
      <c r="E18" s="157"/>
      <c r="F18" s="157"/>
      <c r="G18" s="157"/>
      <c r="H18" s="158"/>
      <c r="I18" s="165" t="s">
        <v>64</v>
      </c>
      <c r="J18" s="85"/>
      <c r="K18" s="166"/>
      <c r="L18" s="173" t="s">
        <v>65</v>
      </c>
      <c r="M18" s="145"/>
      <c r="N18" s="174"/>
      <c r="O18" s="175" t="s">
        <v>66</v>
      </c>
      <c r="P18" s="176"/>
      <c r="Q18" s="145" t="s">
        <v>67</v>
      </c>
      <c r="R18" s="145"/>
      <c r="S18" s="146"/>
    </row>
    <row r="19" spans="1:19" ht="20.399999999999999" customHeight="1">
      <c r="A19" s="154"/>
      <c r="B19" s="159"/>
      <c r="C19" s="160"/>
      <c r="D19" s="160"/>
      <c r="E19" s="160"/>
      <c r="F19" s="160"/>
      <c r="G19" s="160"/>
      <c r="H19" s="161"/>
      <c r="I19" s="167"/>
      <c r="J19" s="168"/>
      <c r="K19" s="169"/>
      <c r="L19" s="60" t="s">
        <v>48</v>
      </c>
      <c r="M19" s="147" t="str">
        <f>IF(SUMIFS($J$14:$J$17,$I$14:$I$17,L19)+SUMIFS($L$14:$L$17,$K$14:$K$17,L19)+SUMIFS($N$14:$N$17,$M$14:$M$17,L19)+SUMIFS($P$14:$P$17,$O$14:$O$17,L19)+SUMIFS($R$14:$R$17,$Q$14:$Q$17,L19)&gt;0,SUMIFS($J$14:$J$17,$I$14:$I$17,L19)+SUMIFS($L$14:$L$17,$K$14:$K$17,L19)+SUMIFS($N$14:$N$17,$M$14:$M$17,L19)+SUMIFS($P$14:$P$17,$O$14:$O$17,L19),"")</f>
        <v/>
      </c>
      <c r="N19" s="147"/>
      <c r="O19" s="148"/>
      <c r="P19" s="148"/>
      <c r="Q19" s="149" t="str">
        <f>M19</f>
        <v/>
      </c>
      <c r="R19" s="149"/>
      <c r="S19" s="150"/>
    </row>
    <row r="20" spans="1:19" ht="20.399999999999999" customHeight="1">
      <c r="A20" s="154"/>
      <c r="B20" s="159"/>
      <c r="C20" s="160"/>
      <c r="D20" s="160"/>
      <c r="E20" s="160"/>
      <c r="F20" s="160"/>
      <c r="G20" s="160"/>
      <c r="H20" s="161"/>
      <c r="I20" s="167"/>
      <c r="J20" s="168"/>
      <c r="K20" s="169"/>
      <c r="L20" s="60" t="s">
        <v>48</v>
      </c>
      <c r="M20" s="151">
        <f>SUM(N6:N12)</f>
        <v>0</v>
      </c>
      <c r="N20" s="152"/>
      <c r="O20" s="148"/>
      <c r="P20" s="148"/>
      <c r="Q20" s="149">
        <f>M20*O20</f>
        <v>0</v>
      </c>
      <c r="R20" s="149"/>
      <c r="S20" s="150"/>
    </row>
    <row r="21" spans="1:19" ht="20.399999999999999" customHeight="1">
      <c r="A21" s="154"/>
      <c r="B21" s="159"/>
      <c r="C21" s="160"/>
      <c r="D21" s="160"/>
      <c r="E21" s="160"/>
      <c r="F21" s="160"/>
      <c r="G21" s="160"/>
      <c r="H21" s="161"/>
      <c r="I21" s="167"/>
      <c r="J21" s="168"/>
      <c r="K21" s="169"/>
      <c r="L21" s="35"/>
      <c r="M21" s="187"/>
      <c r="N21" s="187"/>
      <c r="O21" s="148"/>
      <c r="P21" s="148"/>
      <c r="Q21" s="149"/>
      <c r="R21" s="149"/>
      <c r="S21" s="150"/>
    </row>
    <row r="22" spans="1:19" ht="20.399999999999999" customHeight="1" thickBot="1">
      <c r="A22" s="154"/>
      <c r="B22" s="159"/>
      <c r="C22" s="160"/>
      <c r="D22" s="160"/>
      <c r="E22" s="160"/>
      <c r="F22" s="160"/>
      <c r="G22" s="160"/>
      <c r="H22" s="161"/>
      <c r="I22" s="167"/>
      <c r="J22" s="168"/>
      <c r="K22" s="169"/>
      <c r="L22" s="46"/>
      <c r="M22" s="188" t="str">
        <f>IF(SUMIFS($J$14:$J$17,$I$14:$I$17,L22)+SUMIFS($L$14:$L$17,$K$14:$K$17,L22)+SUMIFS($N$14:$N$17,$M$14:$M$17,L22)+SUMIFS($P$14:$P$17,$O$14:$O$17,L22)+SUMIFS($R$14:$R$17,$Q$14:$Q$17,L22)&gt;0,SUMIFS($J$14:$J$17,$I$14:$I$17,L22)+SUMIFS($L$14:$L$17,$K$14:$K$17,L22)+SUMIFS($N$14:$N$17,$M$14:$M$17,L22)+SUMIFS($P$14:$P$17,$O$14:$O$17,L22),"")</f>
        <v/>
      </c>
      <c r="N22" s="189"/>
      <c r="O22" s="190"/>
      <c r="P22" s="191"/>
      <c r="Q22" s="192" t="str">
        <f>IFERROR(ROUND(M22*O22,0),"")</f>
        <v/>
      </c>
      <c r="R22" s="192"/>
      <c r="S22" s="193"/>
    </row>
    <row r="23" spans="1:19" ht="20.399999999999999" customHeight="1" thickTop="1">
      <c r="A23" s="154"/>
      <c r="B23" s="159"/>
      <c r="C23" s="160"/>
      <c r="D23" s="160"/>
      <c r="E23" s="160"/>
      <c r="F23" s="160"/>
      <c r="G23" s="160"/>
      <c r="H23" s="161"/>
      <c r="I23" s="167"/>
      <c r="J23" s="168"/>
      <c r="K23" s="169"/>
      <c r="L23" s="177" t="s">
        <v>68</v>
      </c>
      <c r="M23" s="178"/>
      <c r="N23" s="178"/>
      <c r="O23" s="178"/>
      <c r="P23" s="179"/>
      <c r="Q23" s="180">
        <v>0</v>
      </c>
      <c r="R23" s="180"/>
      <c r="S23" s="181"/>
    </row>
    <row r="24" spans="1:19" ht="20.399999999999999" customHeight="1" thickBot="1">
      <c r="A24" s="155"/>
      <c r="B24" s="162"/>
      <c r="C24" s="163"/>
      <c r="D24" s="163"/>
      <c r="E24" s="163"/>
      <c r="F24" s="163"/>
      <c r="G24" s="163"/>
      <c r="H24" s="164"/>
      <c r="I24" s="170"/>
      <c r="J24" s="171"/>
      <c r="K24" s="172"/>
      <c r="L24" s="182" t="s">
        <v>69</v>
      </c>
      <c r="M24" s="183"/>
      <c r="N24" s="183"/>
      <c r="O24" s="183"/>
      <c r="P24" s="184"/>
      <c r="Q24" s="185" t="e">
        <f>(Q19+Q20)</f>
        <v>#VALUE!</v>
      </c>
      <c r="R24" s="185"/>
      <c r="S24" s="186"/>
    </row>
  </sheetData>
  <mergeCells count="62">
    <mergeCell ref="Q23:S23"/>
    <mergeCell ref="L24:P24"/>
    <mergeCell ref="Q24:S24"/>
    <mergeCell ref="O20:P20"/>
    <mergeCell ref="Q20:S20"/>
    <mergeCell ref="M21:N21"/>
    <mergeCell ref="O21:P21"/>
    <mergeCell ref="Q21:S21"/>
    <mergeCell ref="M22:N22"/>
    <mergeCell ref="O22:P22"/>
    <mergeCell ref="Q22:S22"/>
    <mergeCell ref="A18:A24"/>
    <mergeCell ref="B18:H24"/>
    <mergeCell ref="I18:K24"/>
    <mergeCell ref="L18:N18"/>
    <mergeCell ref="O18:P18"/>
    <mergeCell ref="L23:P23"/>
    <mergeCell ref="Q18:S18"/>
    <mergeCell ref="M19:N19"/>
    <mergeCell ref="O19:P19"/>
    <mergeCell ref="Q19:S19"/>
    <mergeCell ref="M20:N20"/>
    <mergeCell ref="A14:A17"/>
    <mergeCell ref="B14:G17"/>
    <mergeCell ref="H14:H17"/>
    <mergeCell ref="Q14:S14"/>
    <mergeCell ref="Q15:S15"/>
    <mergeCell ref="Q16:S16"/>
    <mergeCell ref="Q17:S17"/>
    <mergeCell ref="G12:H12"/>
    <mergeCell ref="Q12:S12"/>
    <mergeCell ref="G9:H9"/>
    <mergeCell ref="G10:H10"/>
    <mergeCell ref="G11:H11"/>
    <mergeCell ref="G13:H13"/>
    <mergeCell ref="Q13:S13"/>
    <mergeCell ref="K4:L4"/>
    <mergeCell ref="M4:N4"/>
    <mergeCell ref="O4:P4"/>
    <mergeCell ref="Q4:S5"/>
    <mergeCell ref="Q6:S6"/>
    <mergeCell ref="Q7:S7"/>
    <mergeCell ref="Q8:S8"/>
    <mergeCell ref="I4:J4"/>
    <mergeCell ref="G6:H6"/>
    <mergeCell ref="G7:H7"/>
    <mergeCell ref="G8:H8"/>
    <mergeCell ref="Q9:S9"/>
    <mergeCell ref="Q10:S10"/>
    <mergeCell ref="Q11:S11"/>
    <mergeCell ref="A4:A5"/>
    <mergeCell ref="D4:D5"/>
    <mergeCell ref="E4:E5"/>
    <mergeCell ref="F4:F5"/>
    <mergeCell ref="G4:H5"/>
    <mergeCell ref="A1:S1"/>
    <mergeCell ref="A2:S2"/>
    <mergeCell ref="A3:C3"/>
    <mergeCell ref="H3:J3"/>
    <mergeCell ref="K3:L3"/>
    <mergeCell ref="M3:O3"/>
    <mergeCell ref="Q3:S3"/>
  </mergeCells>
  <phoneticPr fontId="3" type="noConversion"/>
  <conditionalFormatting sqref="I7:I10">
    <cfRule type="expression" dxfId="3" priority="2">
      <formula>H7="NTD"</formula>
    </cfRule>
  </conditionalFormatting>
  <conditionalFormatting sqref="I6:Q6 I11:J17 K14:P17 L19:N22">
    <cfRule type="expression" dxfId="2" priority="3">
      <formula>H6="NTD"</formula>
    </cfRule>
  </conditionalFormatting>
  <conditionalFormatting sqref="K7:Q13">
    <cfRule type="expression" dxfId="1" priority="1">
      <formula>J7="NTD"</formula>
    </cfRule>
  </conditionalFormatting>
  <conditionalFormatting sqref="Q14:Q17">
    <cfRule type="expression" dxfId="0" priority="4">
      <formula>#REF!="NTD"</formula>
    </cfRule>
  </conditionalFormatting>
  <dataValidations count="2">
    <dataValidation type="list" allowBlank="1" showInputMessage="1" showErrorMessage="1" sqref="K14:K17 I6:I17 O6:O17 M6:M17 K7:K11" xr:uid="{00000000-0002-0000-0100-000000000000}">
      <formula1>$V$6:$V$15</formula1>
    </dataValidation>
    <dataValidation type="list" allowBlank="1" showInputMessage="1" showErrorMessage="1" sqref="L19:L22 K6 K12:K13" xr:uid="{00000000-0002-0000-0100-000001000000}">
      <formula1>$V$6:$V$16</formula1>
    </dataValidation>
  </dataValidations>
  <pageMargins left="0.19685039370078741" right="0.19685039370078741" top="0.19685039370078741" bottom="0.19685039370078741" header="0" footer="0"/>
  <pageSetup paperSize="9" scale="97" orientation="landscape" r:id="rId1"/>
  <headerFooter>
    <oddFooter>&amp;L&amp;"微軟正黑體,粗體"　　　　　　　　　　管理部審核：　　　　　　　　　　　　　　　　　　　　　　　　　　　　　　申請人：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view="pageLayout" workbookViewId="0">
      <selection activeCell="B6" sqref="B6:C6"/>
    </sheetView>
  </sheetViews>
  <sheetFormatPr defaultColWidth="8" defaultRowHeight="16.2"/>
  <cols>
    <col min="1" max="12" width="7.77734375" style="1" customWidth="1"/>
    <col min="13" max="16384" width="8" style="1"/>
  </cols>
  <sheetData>
    <row r="1" spans="1:12" ht="27" customHeight="1">
      <c r="A1" s="200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</row>
    <row r="2" spans="1:12" ht="27.6" customHeight="1" thickBot="1">
      <c r="A2" s="200" t="s">
        <v>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2" ht="21" customHeight="1" thickTop="1" thickBot="1">
      <c r="A3" s="201" t="s">
        <v>2</v>
      </c>
      <c r="B3" s="201"/>
      <c r="C3" s="2"/>
      <c r="D3" s="3"/>
      <c r="E3" s="3"/>
      <c r="F3" s="3"/>
      <c r="G3" s="202" t="s">
        <v>3</v>
      </c>
      <c r="H3" s="202"/>
      <c r="I3" s="203">
        <v>46166</v>
      </c>
      <c r="J3" s="203"/>
      <c r="K3" s="203"/>
      <c r="L3" s="203"/>
    </row>
    <row r="4" spans="1:12" ht="29.4" customHeight="1" thickBot="1">
      <c r="A4" s="4" t="s">
        <v>4</v>
      </c>
      <c r="B4" s="194"/>
      <c r="C4" s="195"/>
      <c r="D4" s="195"/>
      <c r="E4" s="196"/>
      <c r="F4" s="5" t="s">
        <v>5</v>
      </c>
      <c r="G4" s="197"/>
      <c r="H4" s="198"/>
      <c r="I4" s="198"/>
      <c r="J4" s="198"/>
      <c r="K4" s="198"/>
      <c r="L4" s="199"/>
    </row>
    <row r="5" spans="1:12" ht="30" customHeight="1" thickBot="1">
      <c r="A5" s="4" t="s">
        <v>6</v>
      </c>
      <c r="B5" s="213"/>
      <c r="C5" s="214"/>
      <c r="D5" s="6" t="s">
        <v>7</v>
      </c>
      <c r="E5" s="7"/>
      <c r="F5" s="208" t="s">
        <v>8</v>
      </c>
      <c r="G5" s="216"/>
      <c r="H5" s="217"/>
      <c r="I5" s="217"/>
      <c r="J5" s="217"/>
      <c r="K5" s="217"/>
      <c r="L5" s="218"/>
    </row>
    <row r="6" spans="1:12" ht="35.4" customHeight="1" thickBot="1">
      <c r="A6" s="8" t="s">
        <v>9</v>
      </c>
      <c r="B6" s="225"/>
      <c r="C6" s="226"/>
      <c r="D6" s="9" t="s">
        <v>10</v>
      </c>
      <c r="E6" s="10"/>
      <c r="F6" s="209"/>
      <c r="G6" s="219"/>
      <c r="H6" s="220"/>
      <c r="I6" s="220"/>
      <c r="J6" s="220"/>
      <c r="K6" s="220"/>
      <c r="L6" s="221"/>
    </row>
    <row r="7" spans="1:12" ht="25.2" customHeight="1" thickBot="1">
      <c r="A7" s="11" t="s">
        <v>11</v>
      </c>
      <c r="B7" s="227"/>
      <c r="C7" s="228"/>
      <c r="D7" s="228"/>
      <c r="E7" s="229"/>
      <c r="F7" s="215"/>
      <c r="G7" s="222"/>
      <c r="H7" s="223"/>
      <c r="I7" s="223"/>
      <c r="J7" s="223"/>
      <c r="K7" s="223"/>
      <c r="L7" s="224"/>
    </row>
    <row r="8" spans="1:12" ht="21" customHeight="1" thickBot="1">
      <c r="A8" s="204" t="s">
        <v>12</v>
      </c>
      <c r="B8" s="12" t="s">
        <v>13</v>
      </c>
      <c r="C8" s="206"/>
      <c r="D8" s="206"/>
      <c r="E8" s="207"/>
      <c r="F8" s="208" t="s">
        <v>14</v>
      </c>
      <c r="G8" s="210" t="s">
        <v>15</v>
      </c>
      <c r="H8" s="211"/>
      <c r="I8" s="212"/>
      <c r="J8" s="210" t="s">
        <v>16</v>
      </c>
      <c r="K8" s="211"/>
      <c r="L8" s="212"/>
    </row>
    <row r="9" spans="1:12" ht="27.6" customHeight="1" thickBot="1">
      <c r="A9" s="205"/>
      <c r="B9" s="12" t="s">
        <v>17</v>
      </c>
      <c r="C9" s="230"/>
      <c r="D9" s="230"/>
      <c r="E9" s="231"/>
      <c r="F9" s="209"/>
      <c r="G9" s="232"/>
      <c r="H9" s="233"/>
      <c r="I9" s="234"/>
      <c r="J9" s="232"/>
      <c r="K9" s="233"/>
      <c r="L9" s="234"/>
    </row>
    <row r="10" spans="1:12" ht="28.2" customHeight="1" thickBot="1">
      <c r="A10" s="205"/>
      <c r="B10" s="12" t="s">
        <v>18</v>
      </c>
      <c r="C10" s="235"/>
      <c r="D10" s="235"/>
      <c r="E10" s="236"/>
      <c r="F10" s="209"/>
      <c r="G10" s="232"/>
      <c r="H10" s="233"/>
      <c r="I10" s="234"/>
      <c r="J10" s="232"/>
      <c r="K10" s="233"/>
      <c r="L10" s="234"/>
    </row>
    <row r="11" spans="1:12" ht="22.2" customHeight="1" thickBot="1">
      <c r="A11" s="205"/>
      <c r="B11" s="12" t="s">
        <v>19</v>
      </c>
      <c r="C11" s="237"/>
      <c r="D11" s="237"/>
      <c r="E11" s="238"/>
      <c r="F11" s="209"/>
      <c r="G11" s="232"/>
      <c r="H11" s="233"/>
      <c r="I11" s="234"/>
      <c r="J11" s="232"/>
      <c r="K11" s="233"/>
      <c r="L11" s="234"/>
    </row>
    <row r="12" spans="1:12" ht="17.399999999999999" customHeight="1" thickBot="1">
      <c r="A12" s="242" t="s">
        <v>20</v>
      </c>
      <c r="B12" s="240"/>
      <c r="C12" s="242" t="s">
        <v>21</v>
      </c>
      <c r="D12" s="241"/>
      <c r="E12" s="240" t="s">
        <v>22</v>
      </c>
      <c r="F12" s="241"/>
      <c r="G12" s="242" t="s">
        <v>23</v>
      </c>
      <c r="H12" s="241"/>
      <c r="I12" s="242" t="s">
        <v>24</v>
      </c>
      <c r="J12" s="241"/>
      <c r="K12" s="240" t="s">
        <v>25</v>
      </c>
      <c r="L12" s="241"/>
    </row>
    <row r="13" spans="1:12" ht="52.8" customHeight="1" thickBot="1">
      <c r="A13" s="242"/>
      <c r="B13" s="240"/>
      <c r="C13" s="242"/>
      <c r="D13" s="241"/>
      <c r="E13" s="240"/>
      <c r="F13" s="241"/>
      <c r="G13" s="242"/>
      <c r="H13" s="241"/>
      <c r="I13" s="242"/>
      <c r="J13" s="241"/>
      <c r="K13" s="240"/>
      <c r="L13" s="241"/>
    </row>
    <row r="14" spans="1:12" ht="10.8" customHeight="1">
      <c r="A14" s="239" t="s">
        <v>26</v>
      </c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</row>
    <row r="15" spans="1:12">
      <c r="A15" s="239" t="s">
        <v>27</v>
      </c>
      <c r="B15" s="239"/>
      <c r="C15" s="239"/>
      <c r="D15" s="239"/>
      <c r="E15" s="239"/>
      <c r="F15" s="239"/>
      <c r="G15" s="239"/>
      <c r="H15" s="239"/>
      <c r="I15" s="239"/>
      <c r="J15" s="239"/>
      <c r="K15" s="239"/>
      <c r="L15" s="239"/>
    </row>
    <row r="43" ht="25.2" customHeight="1"/>
    <row r="44" ht="25.2" customHeight="1"/>
    <row r="45" ht="25.2" customHeight="1"/>
    <row r="46" ht="25.2" customHeight="1"/>
    <row r="47" ht="25.2" customHeight="1"/>
    <row r="48" ht="25.2" customHeight="1"/>
    <row r="49" ht="25.2" customHeight="1"/>
    <row r="50" ht="25.2" customHeight="1"/>
    <row r="51" ht="25.2" customHeight="1"/>
    <row r="52" ht="25.2" customHeight="1"/>
    <row r="53" ht="25.2" customHeight="1"/>
    <row r="54" ht="25.2" customHeight="1"/>
    <row r="55" ht="25.2" customHeight="1"/>
  </sheetData>
  <mergeCells count="36">
    <mergeCell ref="A14:L14"/>
    <mergeCell ref="A15:L15"/>
    <mergeCell ref="K12:L12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B5:C5"/>
    <mergeCell ref="F5:F7"/>
    <mergeCell ref="G5:L7"/>
    <mergeCell ref="B6:C6"/>
    <mergeCell ref="B7:E7"/>
    <mergeCell ref="A8:A11"/>
    <mergeCell ref="C8:E8"/>
    <mergeCell ref="F8:F11"/>
    <mergeCell ref="G8:I8"/>
    <mergeCell ref="J8:L8"/>
    <mergeCell ref="C9:E9"/>
    <mergeCell ref="G9:I11"/>
    <mergeCell ref="J9:L11"/>
    <mergeCell ref="C10:E10"/>
    <mergeCell ref="C11:E11"/>
    <mergeCell ref="B4:E4"/>
    <mergeCell ref="G4:L4"/>
    <mergeCell ref="A1:L1"/>
    <mergeCell ref="A2:L2"/>
    <mergeCell ref="A3:B3"/>
    <mergeCell ref="G3:H3"/>
    <mergeCell ref="I3:L3"/>
  </mergeCells>
  <phoneticPr fontId="3" type="noConversion"/>
  <pageMargins left="0.31496062992125984" right="0.11811023622047245" top="0.55118110236220474" bottom="8.3333333333333332E-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1A2D-C9A7-4511-9C4A-80638EBFCB01}">
  <dimension ref="A1"/>
  <sheetViews>
    <sheetView workbookViewId="0">
      <selection activeCell="F22" sqref="F22"/>
    </sheetView>
  </sheetViews>
  <sheetFormatPr defaultRowHeight="16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報銷表</vt:lpstr>
      <vt:lpstr>應付憑單</vt:lpstr>
      <vt:lpstr>路線憑證</vt:lpstr>
      <vt:lpstr>報銷表!Print_Area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張嘉欣</dc:creator>
  <cp:lastModifiedBy>stanley liu</cp:lastModifiedBy>
  <cp:lastPrinted>2026-06-05T07:12:26Z</cp:lastPrinted>
  <dcterms:created xsi:type="dcterms:W3CDTF">2026-06-05T06:28:12Z</dcterms:created>
  <dcterms:modified xsi:type="dcterms:W3CDTF">2026-06-05T08:19:39Z</dcterms:modified>
</cp:coreProperties>
</file>